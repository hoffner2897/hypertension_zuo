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724f0c682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动场景对应表" sheetId="1" r:id="R72837fe444164e9c"/>
    <x:sheet xmlns:r="http://schemas.openxmlformats.org/officeDocument/2006/relationships" name="推荐评分规则" sheetId="2" r:id="R71fb50aaf1314346"/>
    <x:sheet xmlns:r="http://schemas.openxmlformats.org/officeDocument/2006/relationships" name="推荐结果预览" sheetId="3" r:id="Rd6442f55f93046ec"/>
    <x:sheet xmlns:r="http://schemas.openxmlformats.org/officeDocument/2006/relationships" name="字段说明与质检" sheetId="4" r:id="Rb4a023a13def4055"/>
  </x:sheets>
</x:workbook>
</file>

<file path=xl/sharedStrings.xml><?xml version="1.0" encoding="utf-8"?>
<x:sst xmlns:x="http://schemas.openxmlformats.org/spreadsheetml/2006/main">
  <x:si>
    <x:t xml:space="preserve">低门槛运动场景对应表（每种场景 6 项）</x:t>
  </x:si>
  <x:si>
    <x:t xml:space="preserve">场景</x:t>
  </x:si>
  <x:si>
    <x:t xml:space="preserve">运动</x:t>
  </x:si>
  <x:si>
    <x:t xml:space="preserve">类型</x:t>
  </x:si>
  <x:si>
    <x:t xml:space="preserve">AI 运动建议</x:t>
  </x:si>
  <x:si>
    <x:t xml:space="preserve">AI 强度建议</x:t>
  </x:si>
  <x:si>
    <x:t xml:space="preserve">推荐依据</x:t>
  </x:si>
  <x:si>
    <x:t xml:space="preserve">私人室内</x:t>
  </x:si>
  <x:si>
    <x:t xml:space="preserve">原地踏步</x:t>
  </x:si>
  <x:si>
    <x:t xml:space="preserve">有氧运动</x:t>
  </x:si>
  <x:si>
    <x:t xml:space="preserve">① 身体站直，双脚交替抬起；
② 手臂自然前后摆动；
③ 脚步轻稳，不需要把膝盖抬得很高。</x:t>
  </x:si>
  <x:si>
    <x:t xml:space="preserve">呼吸稍快，但仍能完整说话，不能轻松唱歌。如果只能说几个词，请放慢踏步速度。</x:t>
  </x:si>
  <x:si>
    <x:t xml:space="preserve">依据 A、D：中等强度有氧运动及谈话测试。</x:t>
  </x:si>
  <x:si>
    <x:t xml:space="preserve">坐站练习</x:t>
  </x:si>
  <x:si>
    <x:t xml:space="preserve">动态抗阻运动</x:t>
  </x:si>
  <x:si>
    <x:t xml:space="preserve">① 双脚踩稳，坐在稳定座椅上；
② 身体稍向前倾，缓慢站起；
③ 再慢慢坐下，不要突然落座。</x:t>
  </x:si>
  <x:si>
    <x:t xml:space="preserve">动作时保持呼吸，并能说出简短句子。如果需要憋气、动作变形或无法平稳说话，请减少次数或降低速度。</x:t>
  </x:si>
  <x:si>
    <x:t xml:space="preserve">依据 B：坐站练习属于自身体重动态抗阻运动。</x:t>
  </x:si>
  <x:si>
    <x:t xml:space="preserve">靠墙俯卧撑</x:t>
  </x:si>
  <x:si>
    <x:t xml:space="preserve">① 双手撑墙，与肩膀大致同高；
② 身体保持直线，缓慢靠近墙面；
③ 推回时呼气，不要塌腰或耸肩。</x:t>
  </x:si>
  <x:si>
    <x:t xml:space="preserve">动作过程中应能正常呼吸并说出简短句子。如果必须憋气才能推回，请更靠近墙面站立或减少次数。</x:t>
  </x:si>
  <x:si>
    <x:t xml:space="preserve">依据 B：属于低门槛动态抗阻运动。</x:t>
  </x:si>
  <x:si>
    <x:t xml:space="preserve">靠墙静蹲</x:t>
  </x:si>
  <x:si>
    <x:t xml:space="preserve">等长运动</x:t>
  </x:si>
  <x:si>
    <x:t xml:space="preserve">① 背部贴墙，双脚向前迈半步；
② 缓慢下滑至舒适的浅蹲位置；
③ 膝盖朝向脚尖，保持身体稳定。</x:t>
  </x:si>
  <x:si>
    <x:t xml:space="preserve">采用浅角度、短时间保持，并在每次保持后充分休息；全程正常呼吸。如果出现憋气、明显发抖、头晕或无法说出短句，请立即站起休息。不要把它设计成连续 10–20 分钟的保持动作。</x:t>
  </x:si>
  <x:si>
    <x:t xml:space="preserve">依据 C：靠墙静蹲具有较直接的等长运动降压证据；同时需注意等长保持期间血压可暂时升高。</x:t>
  </x:si>
  <x:si>
    <x:t xml:space="preserve">坐姿交替抬膝</x:t>
  </x:si>
  <x:si>
    <x:t xml:space="preserve">① 坐在稳定座椅前半部，双脚踩地；
② 左右交替抬膝，抬到舒适高度；
③ 上身保持直立，手臂可轻轻摆动。</x:t>
  </x:si>
  <x:si>
    <x:t xml:space="preserve">呼吸稍快，但仍能完整说话，不能轻松唱歌。如果腰背紧张、身体明显后仰或只能说几个词，请降低抬膝高度并放慢节奏。</x:t>
  </x:si>
  <x:si>
    <x:t xml:space="preserve">依据 A、D：作为低冲击、节律性有氧活动使用。</x:t>
  </x:si>
  <x:si>
    <x:t xml:space="preserve">坐姿伸膝</x:t>
  </x:si>
  <x:si>
    <x:t xml:space="preserve">① 坐稳，双脚先踩在地面；
② 单侧小腿缓慢向前伸直；
③ 短暂停顿后缓慢放下，左右交替。</x:t>
  </x:si>
  <x:si>
    <x:t xml:space="preserve">动作时保持自然呼吸，并能说出简短句子。如果需要后仰借力、膝部疼痛或无法控制小腿缓慢落下，请减小伸直幅度或减少次数。</x:t>
  </x:si>
  <x:si>
    <x:t xml:space="preserve">依据 B：坐姿伸膝属于低门槛下肢动态抗阻动作。</x:t>
  </x:si>
  <x:si>
    <x:t xml:space="preserve">公共室内</x:t>
  </x:si>
  <x:si>
    <x:t xml:space="preserve">慢走</x:t>
  </x:si>
  <x:si>
    <x:t xml:space="preserve">① 保持自然步幅，不刻意迈大步；
② 肩膀放松，手臂自然摆动；
③ 目视前方，保持稳定节奏。</x:t>
  </x:si>
  <x:si>
    <x:t xml:space="preserve">呼吸稍快，但仍能完整说话，不能轻松唱歌。如果无法连续说完一句话，请主动放慢。</x:t>
  </x:si>
  <x:si>
    <x:t xml:space="preserve">依据 A、D：步行属于推荐的中等强度有氧活动。</x:t>
  </x:si>
  <x:si>
    <x:t xml:space="preserve">① 双脚交替抬起，脚步轻轻落地；
② 身体保持直立，不左右摇晃；
③ 从较慢节奏开始，再逐渐加快。</x:t>
  </x:si>
  <x:si>
    <x:t xml:space="preserve">呼吸稍快，但仍能完整说话，不能轻松唱歌。如果只能说几个词，请减慢节奏或暂停。</x:t>
  </x:si>
  <x:si>
    <x:t xml:space="preserve">侧向踏步</x:t>
  </x:si>
  <x:si>
    <x:t xml:space="preserve">① 向左迈一步，再把右脚并拢；
② 向右重复，左右交替；
③ 膝盖微屈，全程不跳跃。</x:t>
  </x:si>
  <x:si>
    <x:t xml:space="preserve">呼吸稍快，但仍能完整说话，不能轻松唱歌。如果说话开始断断续续，请减小步幅或放慢速度。</x:t>
  </x:si>
  <x:si>
    <x:t xml:space="preserve">依据 A、D：依据来自中等强度有氧运动整体证据。</x:t>
  </x:si>
  <x:si>
    <x:t xml:space="preserve">提踵</x:t>
  </x:si>
  <x:si>
    <x:t xml:space="preserve">① 双脚自然分开，身体站稳；
② 缓慢抬起脚跟；
③ 再慢慢落下，不要快速弹动。</x:t>
  </x:si>
  <x:si>
    <x:t xml:space="preserve">动作时保持自然呼吸，并能说出简短句子。如果需要憋气、身体明显晃动或小腿抽痛，请减少次数并休息。</x:t>
  </x:si>
  <x:si>
    <x:t xml:space="preserve">依据 B：提踵属于自身体重动态抗阻动作。</x:t>
  </x:si>
  <x:si>
    <x:t xml:space="preserve">前后点步</x:t>
  </x:si>
  <x:si>
    <x:t xml:space="preserve">① 一只脚向前轻点地后收回；
② 同一只脚再向后轻点地，然后换脚；
③ 上身保持直立，全程不跳跃。</x:t>
  </x:si>
  <x:si>
    <x:t xml:space="preserve">呼吸稍快，但仍能完整说话，不能轻松唱歌。如果脚步变乱、身体摇晃或说话断断续续，请缩小点步距离并放慢节奏。</x:t>
  </x:si>
  <x:si>
    <x:t xml:space="preserve">依据 A、D：作为节律性、低冲击有氧活动使用。</x:t>
  </x:si>
  <x:si>
    <x:t xml:space="preserve">扶墙侧抬腿</x:t>
  </x:si>
  <x:si>
    <x:t xml:space="preserve">① 一手扶住墙面或稳固支撑；
② 一侧腿向侧方小幅抬起，脚尖朝前；
③ 缓慢落下，左右交替，身体不要侧倾。</x:t>
  </x:si>
  <x:si>
    <x:t xml:space="preserve">动作时保持自然呼吸，并能说出简短句子。如果身体明显倾斜、髋部不适或无法缓慢落腿，请减小抬腿幅度或减少次数。</x:t>
  </x:si>
  <x:si>
    <x:t xml:space="preserve">依据 B：属于自身体重下肢动态抗阻动作。</x:t>
  </x:si>
  <x:si>
    <x:t xml:space="preserve">公共室外</x:t>
  </x:si>
  <x:si>
    <x:t xml:space="preserve">① 选择平坦、安全的路线；
② 保持自然步幅和稳定节奏；
③ 肩膀放松，脚步轻稳。</x:t>
  </x:si>
  <x:si>
    <x:t xml:space="preserve">呼吸稍快，但仍能完整说话，不能轻松唱歌。如果只能说几个词，请立即放慢。</x:t>
  </x:si>
  <x:si>
    <x:t xml:space="preserve">依据 A、D：属于中等强度有氧运动。</x:t>
  </x:si>
  <x:si>
    <x:t xml:space="preserve">适度快走</x:t>
  </x:si>
  <x:si>
    <x:t xml:space="preserve">① 先慢走一段时间再逐渐加快；
② 比日常走路稍快，但不要竞速；
③ 步幅自然，手臂配合摆动。</x:t>
  </x:si>
  <x:si>
    <x:t xml:space="preserve">可以完整说话，但不能轻松唱歌。如果说一句话需要多次换气，说明强度过高，应降低速度。</x:t>
  </x:si>
  <x:si>
    <x:t xml:space="preserve">依据 A、D：用于达到中等强度有氧活动。</x:t>
  </x:si>
  <x:si>
    <x:t xml:space="preserve">① 确认地面平整、周围没有障碍；
② 左右缓慢移动，不要交叉双脚；
③ 身体面向前方，保持连续节奏。</x:t>
  </x:si>
  <x:si>
    <x:t xml:space="preserve">呼吸稍快，但仍能完整说话，不能轻松唱歌。如果无法保持连续交谈，请缩小步幅或放慢。</x:t>
  </x:si>
  <x:si>
    <x:t xml:space="preserve">依据 A、D：低冲击有氧活动的场景化形式。</x:t>
  </x:si>
  <x:si>
    <x:t xml:space="preserve">开合步</x:t>
  </x:si>
  <x:si>
    <x:t xml:space="preserve">① 一只脚向侧方迈开，再收回；
② 左右脚交替进行；
③ 双臂可自然抬起，但全程不要跳跃。</x:t>
  </x:si>
  <x:si>
    <x:t xml:space="preserve">呼吸稍快，但仍能完整说话，不能轻松唱歌。如果只能说几个词，请减慢动作或暂时不抬手臂。</x:t>
  </x:si>
  <x:si>
    <x:t xml:space="preserve">依据 A、D：不跳跃开合步属于节律性低冲击有氧活动。</x:t>
  </x:si>
  <x:si>
    <x:t xml:space="preserve">① 选择平整、没有行人干扰的位置；
② 一只脚向前轻点后收回，再向后轻点；
③ 左右脚交替，上身保持直立。</x:t>
  </x:si>
  <x:si>
    <x:t xml:space="preserve">呼吸稍快，但仍能完整说话，不能轻松唱歌。如果身体摇晃、脚步变乱或只能说几个词，请缩小动作范围并放慢。</x:t>
  </x:si>
  <x:si>
    <x:t xml:space="preserve">低台阶踏步</x:t>
  </x:si>
  <x:si>
    <x:t xml:space="preserve">① 选择稳固的低台阶，并尽量靠近扶手；
② 一只脚踏上，另一只脚跟上，再依次踏下；
③ 交替领先脚，保持稳定节奏，不要跳跃。</x:t>
  </x:si>
  <x:si>
    <x:t xml:space="preserve">可以完整说话，但不能轻松唱歌。如果说话需要多次换气、膝部不适或上下台阶不稳，请降低速度、改用更低台阶或停止。</x:t>
  </x:si>
  <x:si>
    <x:t xml:space="preserve">依据 A、D：连续踏步可作为中等强度有氧活动；安全性取决于台阶稳定和个人平衡能力。</x:t>
  </x:si>
  <x:si>
    <x:t xml:space="preserve">私人／开放室外</x:t>
  </x:si>
  <x:si>
    <x:t xml:space="preserve">① 先用慢走进行热身；
② 逐渐加快至舒适速度；
③ 结束前慢慢减速，不要突然停下。</x:t>
  </x:si>
  <x:si>
    <x:t xml:space="preserve">可以完整说话，但不能轻松唱歌。如果无法连续说完一句话，请降低速度。</x:t>
  </x:si>
  <x:si>
    <x:t xml:space="preserve">浅蹲</x:t>
  </x:si>
  <x:si>
    <x:t xml:space="preserve">① 双脚自然分开，脚尖朝前；
② 臀部向后下方移动；
③ 只蹲到舒适位置，再缓慢站起。</x:t>
  </x:si>
  <x:si>
    <x:t xml:space="preserve">动作过程中应能正常呼吸并说出简短句子。如果需要憋气、膝盖不适或无法稳定站起，请减小下蹲幅度。</x:t>
  </x:si>
  <x:si>
    <x:t xml:space="preserve">依据 B：浅蹲属于自身体重动态抗阻运动。</x:t>
  </x:si>
  <x:si>
    <x:t xml:space="preserve">① 双手撑墙，略宽于肩；
② 弯曲手肘，让身体缓慢靠近墙面；
③ 推回时呼气，保持腰背稳定。</x:t>
  </x:si>
  <x:si>
    <x:t xml:space="preserve">动作时保持呼吸，并能说出简短句子。如果需要屏住呼吸才能完成，请靠近墙面或减少次数。</x:t>
  </x:si>
  <x:si>
    <x:t xml:space="preserve">依据 B：属于低强度动态抗阻运动。</x:t>
  </x:si>
  <x:si>
    <x:t xml:space="preserve">① 背部贴墙，双脚踩稳；
② 采用舒适的浅蹲角度；
③ 保持身体稳定，不追求蹲得更低。</x:t>
  </x:si>
  <x:si>
    <x:t xml:space="preserve">采用浅角度、短时间保持，并在每次保持后充分休息；全程正常呼吸。如果无法说出短句、明显憋气、头晕或腿部剧烈发抖，请立即结束。不要把它设计成连续 10–20 分钟的保持动作。</x:t>
  </x:si>
  <x:si>
    <x:t xml:space="preserve">依据 C：靠墙静蹲具有较直接的等长训练证据；同时需注意等长保持期间血压可暂时升高。</x:t>
  </x:si>
  <x:si>
    <x:t xml:space="preserve">扶墙后抬腿</x:t>
  </x:si>
  <x:si>
    <x:t xml:space="preserve">① 一手扶住墙面或稳固支撑；
② 一侧腿向后小幅抬起，膝盖保持自然；
③ 缓慢落下，左右交替，不要向后仰腰。</x:t>
  </x:si>
  <x:si>
    <x:t xml:space="preserve">动作时保持自然呼吸，并能说出简短句子。如果腰部代偿、身体晃动或髋部不适，请减小抬腿幅度或减少次数。</x:t>
  </x:si>
  <x:si>
    <x:t xml:space="preserve">① 选择稳固的低台阶，并确保周围没有障碍；
② 一只脚踏上，另一只脚跟上，再依次踏下；
③ 交替领先脚，保持稳定节奏，不要跳跃。</x:t>
  </x:si>
  <x:si>
    <x:t xml:space="preserve">可以完整说话，但不能轻松唱歌。如果无法连续说完一句话、膝部不适或动作不稳，请降低速度、换更低台阶或停止。</x:t>
  </x:si>
  <x:si>
    <x:t xml:space="preserve">绿色运动名称＝本次新增动作。谈话测试用于有氧运动；抗阻／等长动作重点监测自然呼吸、动作控制和不适信号。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</x:si>
</x:sst>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1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333333"/>
      <x:name val="Carlito"/>
    </x:font>
    <x:font>
      <x:b/>
      <x:sz val="11"/>
      <x:name val="Carlito"/>
    </x:font>
    <x:font>
      <x:b/>
      <x:sz val="11"/>
      <x:color rgb="FF375623"/>
      <x:name val="Carlito"/>
    </x:font>
    <x:font>
      <x:i/>
      <x:sz val="11"/>
      <x:color rgb="FF595959"/>
      <x:name val="Carlito"/>
    </x:font>
    <x:font>
      <x:sz val="11"/>
      <x:name val="Carlito"/>
    </x:font>
    <x:font>
      <x:sz val="9"/>
      <x:name val="FangSong"/>
    </x:font>
    <x:font>
      <x:b/>
      <x:sz val="18"/>
      <x:color rgb="FFFFFFFF"/>
      <x:name val="Carlito"/>
    </x:font>
    <x:font>
      <x:i/>
      <x:sz val="10"/>
      <x:color rgb="FF58739A"/>
      <x:name val="Carlito"/>
    </x:font>
    <x:font>
      <x:b/>
      <x:sz val="11"/>
      <x:color rgb="FFFFFFFF"/>
      <x:name val="Carlito"/>
    </x:font>
    <x:font>
      <x:b/>
      <x:sz val="11"/>
      <x:color rgb="FF123A78"/>
      <x:name val="Carlito"/>
    </x:font>
    <x:font>
      <x:b/>
      <x:sz val="9"/>
      <x:color rgb="FF16325C"/>
      <x:name val="Carlito"/>
    </x:font>
    <x:font>
      <x:sz val="9"/>
      <x:color rgb="FF16325C"/>
      <x:name val="Carlito"/>
    </x:font>
    <x:font>
      <x:b/>
      <x:sz val="10"/>
      <x:color rgb="FFFFFFFF"/>
      <x:name val="Carlito"/>
    </x:font>
    <x:font>
      <x:sz val="8"/>
      <x:color rgb="FF16325C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4EA"/>
      </x:patternFill>
    </x:fill>
    <x:fill>
      <x:patternFill patternType="solid">
        <x:fgColor rgb="FFFFF3E0"/>
      </x:patternFill>
    </x:fill>
    <x:fill>
      <x:patternFill patternType="solid">
        <x:fgColor rgb="FFEAF2F8"/>
      </x:patternFill>
    </x:fill>
    <x:fill>
      <x:patternFill patternType="solid">
        <x:fgColor rgb="FFF3EAF8"/>
      </x:patternFill>
    </x:fill>
    <x:fill>
      <x:patternFill patternType="solid">
        <x:fgColor rgb="FFE8F4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123A78"/>
      </x:patternFill>
    </x:fill>
    <x:fill>
      <x:patternFill patternType="solid">
        <x:fgColor rgb="FFEAF3FF"/>
      </x:patternFill>
    </x:fill>
    <x:fill>
      <x:patternFill patternType="solid">
        <x:fgColor rgb="FF1D65D6"/>
      </x:patternFill>
    </x:fill>
    <x:fill>
      <x:patternFill patternType="solid">
        <x:fgColor rgb="FF4B8FE8"/>
      </x:patternFill>
    </x:fill>
    <x:fill>
      <x:patternFill patternType="solid">
        <x:fgColor rgb="FFF5F9FF"/>
      </x:patternFill>
    </x:fill>
  </x:fills>
  <x:borders count="17">
    <x:border/>
    <x:border/>
    <x:border/>
    <x:border/>
    <x:border/>
    <x:border/>
    <x:border/>
    <x:border/>
    <x:border/>
    <x:border/>
    <x:border/>
    <x:border/>
    <x:border/>
    <x:border>
      <x:bottom style="thin">
        <x:color rgb="FFC7D9F1"/>
      </x:bottom>
    </x:border>
    <x:border>
      <x:top style="thin">
        <x:color rgb="FFC7D9F1"/>
      </x:top>
      <x:bottom style="thin">
        <x:color rgb="FFC7D9F1"/>
      </x:bottom>
    </x:border>
    <x:border>
      <x:left style="thin">
        <x:color rgb="FFC7D9F1"/>
      </x:left>
      <x:right style="thin">
        <x:color rgb="FFC7D9F1"/>
      </x:right>
      <x:top style="thin">
        <x:color rgb="FFC7D9F1"/>
      </x:top>
      <x:bottom style="thin">
        <x:color rgb="FFC7D9F1"/>
      </x:bottom>
    </x:border>
    <x:border>
      <x:top style="medium">
        <x:color rgb="FF1D65D6"/>
      </x:top>
      <x:bottom style="thin">
        <x:color rgb="FFC7D9F1"/>
      </x:bottom>
    </x:border>
  </x:borders>
  <x:cellStyleXfs count="2">
    <x:xf numFmtId="0" fontId="0" fillId="0" borderId="0"/>
    <x:xf numFmtId="0" fontId="7" fillId="0" borderId="0"/>
  </x:cellStyleXfs>
  <x:cellXfs count="78">
    <x:xf numFmtId="0" fontId="0" fillId="0" borderId="0" xfId="0"/>
    <x:xf numFmtId="0" fontId="2" fillId="3" borderId="1" xfId="1" applyFont="1" applyFill="1" applyBorder="1" applyAlignment="1">
      <x:alignment horizontal="center" vertical="center"/>
    </x:xf>
    <x:xf numFmtId="0" fontId="0" fillId="0" borderId="0" xfId="1" applyFont="1" applyAlignment="1">
      <x:alignment vertical="top" wrapText="1"/>
    </x:xf>
    <x:xf numFmtId="0" fontId="0" fillId="0" borderId="5" xfId="1" applyFont="1" applyBorder="1" applyAlignment="1">
      <x:alignment vertical="top" wrapText="1"/>
    </x:xf>
    <x:xf numFmtId="0" fontId="0" fillId="0" borderId="6" xfId="1" applyFont="1" applyBorder="1" applyAlignment="1">
      <x:alignment vertical="top" wrapText="1"/>
    </x:xf>
    <x:xf numFmtId="0" fontId="0" fillId="0" borderId="7" xfId="1" applyFont="1" applyBorder="1" applyAlignment="1">
      <x:alignment vertical="top" wrapText="1"/>
    </x:xf>
    <x:xf numFmtId="0" fontId="0" fillId="0" borderId="8" xfId="1" applyFont="1" applyBorder="1" applyAlignment="1">
      <x:alignment vertical="top" wrapText="1"/>
    </x:xf>
    <x:xf numFmtId="0" fontId="0" fillId="0" borderId="9" xfId="1" applyFont="1" applyBorder="1" applyAlignment="1">
      <x:alignment vertical="top" wrapText="1"/>
    </x:xf>
    <x:xf numFmtId="0" fontId="0" fillId="0" borderId="11" xfId="1" applyFont="1" applyBorder="1" applyAlignment="1">
      <x:alignment vertical="top" wrapText="1"/>
    </x:xf>
    <x:xf numFmtId="0" fontId="0" fillId="0" borderId="12" xfId="1" applyFont="1" applyBorder="1" applyAlignment="1">
      <x:alignment vertical="top" wrapText="1"/>
    </x:xf>
    <x:xf numFmtId="0" fontId="4" fillId="8" borderId="6" xfId="1" applyFont="1" applyFill="1" applyBorder="1" applyAlignment="1">
      <x:alignment horizontal="center" vertical="center" wrapText="1"/>
    </x:xf>
    <x:xf numFmtId="0" fontId="4" fillId="9" borderId="0" xfId="1" applyFont="1" applyFill="1" applyAlignment="1">
      <x:alignment horizontal="center" vertical="center" wrapText="1"/>
    </x:xf>
    <x:xf numFmtId="0" fontId="4" fillId="10" borderId="0" xfId="1" applyFont="1" applyFill="1" applyAlignment="1">
      <x:alignment horizontal="center" vertical="center" wrapText="1"/>
    </x:xf>
    <x:xf numFmtId="0" fontId="4" fillId="8" borderId="0" xfId="1" applyFont="1" applyFill="1" applyAlignment="1">
      <x:alignment horizontal="center" vertical="center" wrapText="1"/>
    </x:xf>
    <x:xf numFmtId="0" fontId="4" fillId="8" borderId="11" xfId="1" applyFont="1" applyFill="1" applyBorder="1" applyAlignment="1">
      <x:alignment horizontal="center" vertical="center" wrapText="1"/>
    </x:xf>
    <x:xf numFmtId="0" fontId="5" fillId="11" borderId="8" xfId="1" applyFont="1" applyFill="1" applyBorder="1" applyAlignment="1">
      <x:alignment vertical="center" wrapText="1"/>
    </x:xf>
    <x:xf numFmtId="0" fontId="5" fillId="11" borderId="10" xfId="1" applyFont="1" applyFill="1" applyBorder="1" applyAlignment="1">
      <x:alignment vertical="center" wrapText="1"/>
    </x:xf>
    <x:xf numFmtId="0" fontId="1" fillId="2" borderId="0" xfId="1" applyFont="1" applyFill="1" applyAlignment="1">
      <x:alignment horizontal="center" vertical="center"/>
    </x:xf>
    <x:xf numFmtId="0" fontId="3" fillId="4" borderId="2" xfId="1" applyFont="1" applyFill="1" applyBorder="1" applyAlignment="1">
      <x:alignment horizontal="center" vertical="center" wrapText="1"/>
    </x:xf>
    <x:xf numFmtId="0" fontId="3" fillId="4" borderId="3" xfId="1" applyFont="1" applyFill="1" applyBorder="1" applyAlignment="1">
      <x:alignment horizontal="center" vertical="center" wrapText="1"/>
    </x:xf>
    <x:xf numFmtId="0" fontId="3" fillId="4" borderId="4" xfId="1" applyFont="1" applyFill="1" applyBorder="1" applyAlignment="1">
      <x:alignment horizontal="center" vertical="center" wrapText="1"/>
    </x:xf>
    <x:xf numFmtId="0" fontId="3" fillId="5" borderId="2" xfId="1" applyFont="1" applyFill="1" applyBorder="1" applyAlignment="1">
      <x:alignment horizontal="center" vertical="center" wrapText="1"/>
    </x:xf>
    <x:xf numFmtId="0" fontId="3" fillId="5" borderId="3" xfId="1" applyFont="1" applyFill="1" applyBorder="1" applyAlignment="1">
      <x:alignment horizontal="center" vertical="center" wrapText="1"/>
    </x:xf>
    <x:xf numFmtId="0" fontId="3" fillId="5" borderId="4" xfId="1" applyFont="1" applyFill="1" applyBorder="1" applyAlignment="1">
      <x:alignment horizontal="center" vertical="center" wrapText="1"/>
    </x:xf>
    <x:xf numFmtId="0" fontId="3" fillId="6" borderId="2" xfId="1" applyFont="1" applyFill="1" applyBorder="1" applyAlignment="1">
      <x:alignment horizontal="center" vertical="center" wrapText="1"/>
    </x:xf>
    <x:xf numFmtId="0" fontId="3" fillId="6" borderId="3" xfId="1" applyFont="1" applyFill="1" applyBorder="1" applyAlignment="1">
      <x:alignment horizontal="center" vertical="center" wrapText="1"/>
    </x:xf>
    <x:xf numFmtId="0" fontId="3" fillId="6" borderId="4" xfId="1" applyFont="1" applyFill="1" applyBorder="1" applyAlignment="1">
      <x:alignment horizontal="center" vertical="center" wrapText="1"/>
    </x:xf>
    <x:xf numFmtId="0" fontId="3" fillId="7" borderId="2" xfId="1" applyFont="1" applyFill="1" applyBorder="1" applyAlignment="1">
      <x:alignment horizontal="center" vertical="center" wrapText="1"/>
    </x:xf>
    <x:xf numFmtId="0" fontId="3" fillId="7" borderId="3" xfId="1" applyFont="1" applyFill="1" applyBorder="1" applyAlignment="1">
      <x:alignment horizontal="center" vertical="center" wrapText="1"/>
    </x:xf>
    <x:xf numFmtId="0" fontId="3" fillId="7" borderId="4" xfId="1" applyFont="1" applyFill="1" applyBorder="1" applyAlignment="1">
      <x:alignment horizontal="center" vertical="center" wrapText="1"/>
    </x:xf>
    <x:xf numFmtId="0" fontId="6" fillId="12" borderId="0" xfId="1" applyFont="1" applyFill="1" applyAlignment="1">
      <x:alignment vertical="center" wrapText="1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horizontal="left"/>
    </x:xf>
    <x:xf numFmtId="0" fontId="9" fillId="13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wrapText="1"/>
    </x:xf>
    <x:xf numFmtId="0" fontId="10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vertical="center"/>
    </x:xf>
    <x:xf numFmtId="0" fontId="12" fillId="14" borderId="0" xfId="0" applyNumberFormat="1" applyFont="1" applyFill="1" applyBorder="1"/>
    <x:xf numFmtId="0" fontId="13" fillId="14" borderId="0" xfId="0" applyNumberFormat="1" applyFont="1" applyFill="1" applyBorder="1"/>
    <x:xf numFmtId="0" fontId="14" fillId="0" borderId="0" xfId="0" applyNumberFormat="1" applyFont="1" applyFill="1" applyBorder="1"/>
    <x:xf numFmtId="0" fontId="13" fillId="14" borderId="13" xfId="0" applyNumberFormat="1" applyFont="1" applyFill="1" applyBorder="1"/>
    <x:xf numFmtId="0" fontId="14" fillId="0" borderId="13" xfId="0" applyNumberFormat="1" applyFont="1" applyFill="1" applyBorder="1"/>
    <x:xf numFmtId="0" fontId="13" fillId="14" borderId="14" xfId="0" applyNumberFormat="1" applyFont="1" applyFill="1" applyBorder="1"/>
    <x:xf numFmtId="0" fontId="14" fillId="0" borderId="14" xfId="0" applyNumberFormat="1" applyFont="1" applyFill="1" applyBorder="1"/>
    <x:xf numFmtId="0" fontId="13" fillId="14" borderId="13" xfId="0" applyNumberFormat="1" applyFont="1" applyFill="1" applyBorder="1" applyAlignment="1">
      <x:alignment wrapText="1"/>
    </x:xf>
    <x:xf numFmtId="0" fontId="14" fillId="0" borderId="13" xfId="0" applyNumberFormat="1" applyFont="1" applyFill="1" applyBorder="1" applyAlignment="1">
      <x:alignment wrapText="1"/>
    </x:xf>
    <x:xf numFmtId="0" fontId="13" fillId="14" borderId="14" xfId="0" applyNumberFormat="1" applyFont="1" applyFill="1" applyBorder="1" applyAlignment="1">
      <x:alignment wrapText="1"/>
    </x:xf>
    <x:xf numFmtId="0" fontId="14" fillId="0" borderId="14" xfId="0" applyNumberFormat="1" applyFont="1" applyFill="1" applyBorder="1" applyAlignment="1">
      <x:alignment wrapText="1"/>
    </x:xf>
    <x:xf numFmtId="0" fontId="13" fillId="14" borderId="13" xfId="0" applyNumberFormat="1" applyFont="1" applyFill="1" applyBorder="1" applyAlignment="1">
      <x:alignment vertical="center" wrapText="1"/>
    </x:xf>
    <x:xf numFmtId="0" fontId="14" fillId="0" borderId="13" xfId="0" applyNumberFormat="1" applyFont="1" applyFill="1" applyBorder="1" applyAlignment="1">
      <x:alignment vertical="center" wrapText="1"/>
    </x:xf>
    <x:xf numFmtId="0" fontId="13" fillId="14" borderId="14" xfId="0" applyNumberFormat="1" applyFont="1" applyFill="1" applyBorder="1" applyAlignment="1">
      <x:alignment vertical="center" wrapText="1"/>
    </x:xf>
    <x:xf numFmtId="0" fontId="14" fillId="0" borderId="14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15" xfId="0" applyNumberFormat="1" applyFont="1" applyFill="1" applyBorder="1"/>
    <x:xf numFmtId="0" fontId="15" fillId="16" borderId="15" xfId="0" applyNumberFormat="1" applyFont="1" applyFill="1" applyBorder="1" applyAlignment="1">
      <x:alignment wrapText="1"/>
    </x:xf>
    <x:xf numFmtId="0" fontId="15" fillId="16" borderId="15" xfId="0" applyNumberFormat="1" applyFont="1" applyFill="1" applyBorder="1" applyAlignment="1">
      <x:alignment horizontal="center" wrapText="1"/>
    </x:xf>
    <x:xf numFmtId="0" fontId="15" fillId="16" borderId="15" xfId="0" applyNumberFormat="1" applyFont="1" applyFill="1" applyBorder="1" applyAlignment="1">
      <x:alignment horizontal="center" vertical="center" wrapText="1"/>
    </x:xf>
    <x:xf numFmtId="200" fontId="14" fillId="0" borderId="13" xfId="0" applyNumberFormat="1" applyFont="1" applyFill="1" applyBorder="1" applyAlignment="1">
      <x:alignment vertical="center" wrapText="1"/>
    </x:xf>
    <x:xf numFmtId="200" fontId="14" fillId="0" borderId="14" xfId="0" applyNumberFormat="1" applyFont="1" applyFill="1" applyBorder="1" applyAlignment="1">
      <x:alignment vertical="center" wrapText="1"/>
    </x:xf>
    <x:xf numFmtId="0" fontId="16" fillId="0" borderId="13" xfId="0" applyNumberFormat="1" applyFont="1" applyFill="1" applyBorder="1" applyAlignment="1">
      <x:alignment vertical="center" wrapText="1"/>
    </x:xf>
    <x:xf numFmtId="0" fontId="16" fillId="0" borderId="14" xfId="0" applyNumberFormat="1" applyFont="1" applyFill="1" applyBorder="1" applyAlignment="1">
      <x:alignment vertical="center" wrapText="1"/>
    </x:xf>
    <x:xf numFmtId="0" fontId="14" fillId="17" borderId="13" xfId="0" applyNumberFormat="1" applyFont="1" applyFill="1" applyBorder="1" applyAlignment="1">
      <x:alignment vertical="center" wrapText="1"/>
    </x:xf>
    <x:xf numFmtId="200" fontId="14" fillId="17" borderId="13" xfId="0" applyNumberFormat="1" applyFont="1" applyFill="1" applyBorder="1" applyAlignment="1">
      <x:alignment vertical="center" wrapText="1"/>
    </x:xf>
    <x:xf numFmtId="0" fontId="14" fillId="17" borderId="14" xfId="0" applyNumberFormat="1" applyFont="1" applyFill="1" applyBorder="1" applyAlignment="1">
      <x:alignment vertical="center" wrapText="1"/>
    </x:xf>
    <x:xf numFmtId="200" fontId="14" fillId="17" borderId="14" xfId="0" applyNumberFormat="1" applyFont="1" applyFill="1" applyBorder="1" applyAlignment="1">
      <x:alignment vertical="center" wrapText="1"/>
    </x:xf>
    <x:xf numFmtId="0" fontId="14" fillId="0" borderId="13" xfId="0" applyNumberFormat="1" applyFont="1" applyFill="1" applyBorder="1" applyAlignment="1">
      <x:alignment horizontal="center" vertical="center" wrapText="1"/>
    </x:xf>
    <x:xf numFmtId="0" fontId="14" fillId="0" borderId="14" xfId="0" applyNumberFormat="1" applyFont="1" applyFill="1" applyBorder="1" applyAlignment="1">
      <x:alignment horizontal="center" vertical="center" wrapText="1"/>
    </x:xf>
    <x:xf numFmtId="200" fontId="14" fillId="0" borderId="13" xfId="0" applyNumberFormat="1" applyFont="1" applyFill="1" applyBorder="1" applyAlignment="1">
      <x:alignment horizontal="center" vertical="center" wrapText="1"/>
    </x:xf>
    <x:xf numFmtId="200" fontId="14" fillId="0" borderId="14" xfId="0" applyNumberFormat="1" applyFont="1" applyFill="1" applyBorder="1" applyAlignment="1">
      <x:alignment horizontal="center" vertical="center" wrapText="1"/>
    </x:xf>
    <x:xf numFmtId="0" fontId="14" fillId="0" borderId="16" xfId="0" applyNumberFormat="1" applyFont="1" applyFill="1" applyBorder="1" applyAlignment="1">
      <x:alignment horizontal="center" vertical="center" wrapText="1"/>
    </x:xf>
    <x:xf numFmtId="0" fontId="14" fillId="0" borderId="16" xfId="0" applyNumberFormat="1" applyFont="1" applyFill="1" applyBorder="1" applyAlignment="1">
      <x:alignment vertical="center" wrapText="1"/>
    </x:xf>
    <x:xf numFmtId="200" fontId="14" fillId="0" borderId="16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常规" xfId="0"/>
  </x:cellStyles>
  <x:dxfs count="4">
    <x:dxf>
      <x:font>
        <x:b/>
        <x:color rgb="FF1F8A55"/>
      </x:font>
      <x:fill>
        <x:patternFill patternType="solid">
          <x:bgColor rgb="FFEAF8F0"/>
        </x:patternFill>
      </x:fill>
    </x:dxf>
    <x:dxf>
      <x:font>
        <x:b/>
        <x:color rgb="FFB83A3A"/>
      </x:font>
      <x:fill>
        <x:patternFill patternType="solid">
          <x:bgColor rgb="FFFDECEC"/>
        </x:patternFill>
      </x:fill>
    </x:dxf>
    <x:dxf>
      <x:font>
        <x:b/>
        <x:color rgb="FF1F8A55"/>
      </x:font>
      <x:fill>
        <x:patternFill patternType="solid">
          <x:bgColor rgb="FFEAF8F0"/>
        </x:patternFill>
      </x:fill>
    </x:dxf>
    <x:dxf>
      <x:font>
        <x:b/>
        <x:color rgb="FFB83A3A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45d2fa27c04733" /><Relationship Type="http://schemas.openxmlformats.org/officeDocument/2006/relationships/theme" Target="/xl/theme/theme1.xml" Id="R87d95c975c6f4fc7" /><Relationship Type="http://schemas.openxmlformats.org/officeDocument/2006/relationships/sharedStrings" Target="/xl/sharedStrings.xml" Id="R581bba3a2c514fdf" /><Relationship Type="http://schemas.openxmlformats.org/officeDocument/2006/relationships/worksheet" Target="/xl/worksheets/sheet1.xml" Id="R72837fe444164e9c" /><Relationship Type="http://schemas.openxmlformats.org/officeDocument/2006/relationships/worksheet" Target="/xl/worksheets/sheet2.xml" Id="R71fb50aaf1314346" /><Relationship Type="http://schemas.openxmlformats.org/officeDocument/2006/relationships/worksheet" Target="/xl/worksheets/sheet3.xml" Id="Rd6442f55f93046ec" /><Relationship Type="http://schemas.openxmlformats.org/officeDocument/2006/relationships/worksheet" Target="/xl/worksheets/sheet4.xml" Id="Rb4a023a13def40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16" customWidth="1"/>
    <x:col min="2" max="2" width="18" customWidth="1"/>
    <x:col min="3" max="3" width="15" customWidth="1"/>
    <x:col min="4" max="4" width="43" customWidth="1"/>
    <x:col min="5" max="5" width="48" customWidth="1"/>
    <x:col min="6" max="6" width="43" customWidth="1"/>
  </x:cols>
  <x:sheetData>
    <x:row r="1" ht="40" customHeight="1">
      <x:c r="A1" s="17" t="s">
        <x:v>0</x:v>
      </x:c>
      <x:c r="B1" s="17"/>
      <x:c r="C1" s="17"/>
      <x:c r="D1" s="17"/>
      <x:c r="E1" s="17"/>
      <x:c r="F1" s="17"/>
    </x:row>
    <x:row r="3" ht="15">
      <x:c r="A3" s="1" t="s">
        <x:v>1</x:v>
      </x:c>
      <x:c r="B3" s="1" t="s">
        <x:v>2</x:v>
      </x:c>
      <x:c r="C3" s="1" t="s">
        <x:v>3</x:v>
      </x:c>
      <x:c r="D3" s="1" t="s">
        <x:v>4</x:v>
      </x:c>
      <x:c r="E3" s="1" t="s">
        <x:v>5</x:v>
      </x:c>
      <x:c r="F3" s="1" t="s">
        <x:v>6</x:v>
      </x:c>
    </x:row>
    <x:row r="4" ht="117.25" customHeight="1">
      <x:c r="A4" s="18" t="s">
        <x:v>7</x:v>
      </x:c>
      <x:c r="B4" s="3" t="s">
        <x:v>8</x:v>
      </x:c>
      <x:c r="C4" s="10" t="s">
        <x:v>9</x:v>
      </x:c>
      <x:c r="D4" s="4" t="s">
        <x:v>10</x:v>
      </x:c>
      <x:c r="E4" s="4" t="s">
        <x:v>11</x:v>
      </x:c>
      <x:c r="F4" s="5" t="s">
        <x:v>12</x:v>
      </x:c>
    </x:row>
    <x:row r="5" ht="117.25" customHeight="1">
      <x:c r="A5" s="19" t="s">
        <x:v>7</x:v>
      </x:c>
      <x:c r="B5" s="6" t="s">
        <x:v>13</x:v>
      </x:c>
      <x:c r="C5" s="11" t="s">
        <x:v>14</x:v>
      </x:c>
      <x:c r="D5" s="2" t="s">
        <x:v>15</x:v>
      </x:c>
      <x:c r="E5" s="2" t="s">
        <x:v>16</x:v>
      </x:c>
      <x:c r="F5" s="7" t="s">
        <x:v>17</x:v>
      </x:c>
    </x:row>
    <x:row r="6" ht="117.25" customHeight="1">
      <x:c r="A6" s="19" t="s">
        <x:v>7</x:v>
      </x:c>
      <x:c r="B6" s="6" t="s">
        <x:v>18</x:v>
      </x:c>
      <x:c r="C6" s="11" t="s">
        <x:v>14</x:v>
      </x:c>
      <x:c r="D6" s="2" t="s">
        <x:v>19</x:v>
      </x:c>
      <x:c r="E6" s="2" t="s">
        <x:v>20</x:v>
      </x:c>
      <x:c r="F6" s="7" t="s">
        <x:v>21</x:v>
      </x:c>
    </x:row>
    <x:row r="7" ht="117.25" customHeight="1">
      <x:c r="A7" s="19" t="s">
        <x:v>7</x:v>
      </x:c>
      <x:c r="B7" s="6" t="s">
        <x:v>22</x:v>
      </x:c>
      <x:c r="C7" s="12" t="s">
        <x:v>23</x:v>
      </x:c>
      <x:c r="D7" s="2" t="s">
        <x:v>24</x:v>
      </x:c>
      <x:c r="E7" s="2" t="s">
        <x:v>25</x:v>
      </x:c>
      <x:c r="F7" s="7" t="s">
        <x:v>26</x:v>
      </x:c>
    </x:row>
    <x:row r="8" ht="117.25" customHeight="1">
      <x:c r="A8" s="19" t="s">
        <x:v>7</x:v>
      </x:c>
      <x:c r="B8" s="15" t="s">
        <x:v>27</x:v>
      </x:c>
      <x:c r="C8" s="13" t="s">
        <x:v>9</x:v>
      </x:c>
      <x:c r="D8" s="2" t="s">
        <x:v>28</x:v>
      </x:c>
      <x:c r="E8" s="2" t="s">
        <x:v>29</x:v>
      </x:c>
      <x:c r="F8" s="7" t="s">
        <x:v>30</x:v>
      </x:c>
    </x:row>
    <x:row r="9" ht="117.25" customHeight="1">
      <x:c r="A9" s="20" t="s">
        <x:v>7</x:v>
      </x:c>
      <x:c r="B9" s="15" t="s">
        <x:v>31</x:v>
      </x:c>
      <x:c r="C9" s="11" t="s">
        <x:v>14</x:v>
      </x:c>
      <x:c r="D9" s="2" t="s">
        <x:v>32</x:v>
      </x:c>
      <x:c r="E9" s="2" t="s">
        <x:v>33</x:v>
      </x:c>
      <x:c r="F9" s="7" t="s">
        <x:v>34</x:v>
      </x:c>
    </x:row>
    <x:row r="10" ht="117.25" customHeight="1">
      <x:c r="A10" s="21" t="s">
        <x:v>35</x:v>
      </x:c>
      <x:c r="B10" s="6" t="s">
        <x:v>36</x:v>
      </x:c>
      <x:c r="C10" s="13" t="s">
        <x:v>9</x:v>
      </x:c>
      <x:c r="D10" s="2" t="s">
        <x:v>37</x:v>
      </x:c>
      <x:c r="E10" s="2" t="s">
        <x:v>38</x:v>
      </x:c>
      <x:c r="F10" s="7" t="s">
        <x:v>39</x:v>
      </x:c>
    </x:row>
    <x:row r="11" ht="117.25" customHeight="1">
      <x:c r="A11" s="22" t="s">
        <x:v>35</x:v>
      </x:c>
      <x:c r="B11" s="6" t="s">
        <x:v>8</x:v>
      </x:c>
      <x:c r="C11" s="13" t="s">
        <x:v>9</x:v>
      </x:c>
      <x:c r="D11" s="2" t="s">
        <x:v>40</x:v>
      </x:c>
      <x:c r="E11" s="2" t="s">
        <x:v>41</x:v>
      </x:c>
      <x:c r="F11" s="7" t="s">
        <x:v>30</x:v>
      </x:c>
    </x:row>
    <x:row r="12" ht="117.25" customHeight="1">
      <x:c r="A12" s="22" t="s">
        <x:v>35</x:v>
      </x:c>
      <x:c r="B12" s="6" t="s">
        <x:v>42</x:v>
      </x:c>
      <x:c r="C12" s="13" t="s">
        <x:v>9</x:v>
      </x:c>
      <x:c r="D12" s="2" t="s">
        <x:v>43</x:v>
      </x:c>
      <x:c r="E12" s="2" t="s">
        <x:v>44</x:v>
      </x:c>
      <x:c r="F12" s="7" t="s">
        <x:v>45</x:v>
      </x:c>
    </x:row>
    <x:row r="13" ht="117.25" customHeight="1">
      <x:c r="A13" s="22" t="s">
        <x:v>35</x:v>
      </x:c>
      <x:c r="B13" s="6" t="s">
        <x:v>46</x:v>
      </x:c>
      <x:c r="C13" s="11" t="s">
        <x:v>14</x:v>
      </x:c>
      <x:c r="D13" s="2" t="s">
        <x:v>47</x:v>
      </x:c>
      <x:c r="E13" s="2" t="s">
        <x:v>48</x:v>
      </x:c>
      <x:c r="F13" s="7" t="s">
        <x:v>49</x:v>
      </x:c>
    </x:row>
    <x:row r="14" ht="117.25" customHeight="1">
      <x:c r="A14" s="22" t="s">
        <x:v>35</x:v>
      </x:c>
      <x:c r="B14" s="15" t="s">
        <x:v>50</x:v>
      </x:c>
      <x:c r="C14" s="13" t="s">
        <x:v>9</x:v>
      </x:c>
      <x:c r="D14" s="2" t="s">
        <x:v>51</x:v>
      </x:c>
      <x:c r="E14" s="2" t="s">
        <x:v>52</x:v>
      </x:c>
      <x:c r="F14" s="7" t="s">
        <x:v>53</x:v>
      </x:c>
    </x:row>
    <x:row r="15" ht="117.25" customHeight="1">
      <x:c r="A15" s="23" t="s">
        <x:v>35</x:v>
      </x:c>
      <x:c r="B15" s="15" t="s">
        <x:v>54</x:v>
      </x:c>
      <x:c r="C15" s="11" t="s">
        <x:v>14</x:v>
      </x:c>
      <x:c r="D15" s="2" t="s">
        <x:v>55</x:v>
      </x:c>
      <x:c r="E15" s="2" t="s">
        <x:v>56</x:v>
      </x:c>
      <x:c r="F15" s="7" t="s">
        <x:v>57</x:v>
      </x:c>
    </x:row>
    <x:row r="16" ht="117.25" customHeight="1">
      <x:c r="A16" s="24" t="s">
        <x:v>58</x:v>
      </x:c>
      <x:c r="B16" s="6" t="s">
        <x:v>36</x:v>
      </x:c>
      <x:c r="C16" s="13" t="s">
        <x:v>9</x:v>
      </x:c>
      <x:c r="D16" s="2" t="s">
        <x:v>59</x:v>
      </x:c>
      <x:c r="E16" s="2" t="s">
        <x:v>60</x:v>
      </x:c>
      <x:c r="F16" s="7" t="s">
        <x:v>61</x:v>
      </x:c>
    </x:row>
    <x:row r="17" ht="117.25" customHeight="1">
      <x:c r="A17" s="25" t="s">
        <x:v>58</x:v>
      </x:c>
      <x:c r="B17" s="6" t="s">
        <x:v>62</x:v>
      </x:c>
      <x:c r="C17" s="13" t="s">
        <x:v>9</x:v>
      </x:c>
      <x:c r="D17" s="2" t="s">
        <x:v>63</x:v>
      </x:c>
      <x:c r="E17" s="2" t="s">
        <x:v>64</x:v>
      </x:c>
      <x:c r="F17" s="7" t="s">
        <x:v>65</x:v>
      </x:c>
    </x:row>
    <x:row r="18" ht="117.25" customHeight="1">
      <x:c r="A18" s="25" t="s">
        <x:v>58</x:v>
      </x:c>
      <x:c r="B18" s="6" t="s">
        <x:v>42</x:v>
      </x:c>
      <x:c r="C18" s="13" t="s">
        <x:v>9</x:v>
      </x:c>
      <x:c r="D18" s="2" t="s">
        <x:v>66</x:v>
      </x:c>
      <x:c r="E18" s="2" t="s">
        <x:v>67</x:v>
      </x:c>
      <x:c r="F18" s="7" t="s">
        <x:v>68</x:v>
      </x:c>
    </x:row>
    <x:row r="19" ht="117.25" customHeight="1">
      <x:c r="A19" s="25" t="s">
        <x:v>58</x:v>
      </x:c>
      <x:c r="B19" s="6" t="s">
        <x:v>69</x:v>
      </x:c>
      <x:c r="C19" s="13" t="s">
        <x:v>9</x:v>
      </x:c>
      <x:c r="D19" s="2" t="s">
        <x:v>70</x:v>
      </x:c>
      <x:c r="E19" s="2" t="s">
        <x:v>71</x:v>
      </x:c>
      <x:c r="F19" s="7" t="s">
        <x:v>72</x:v>
      </x:c>
    </x:row>
    <x:row r="20" ht="117.25" customHeight="1">
      <x:c r="A20" s="25" t="s">
        <x:v>58</x:v>
      </x:c>
      <x:c r="B20" s="15" t="s">
        <x:v>50</x:v>
      </x:c>
      <x:c r="C20" s="13" t="s">
        <x:v>9</x:v>
      </x:c>
      <x:c r="D20" s="2" t="s">
        <x:v>73</x:v>
      </x:c>
      <x:c r="E20" s="2" t="s">
        <x:v>74</x:v>
      </x:c>
      <x:c r="F20" s="7" t="s">
        <x:v>53</x:v>
      </x:c>
    </x:row>
    <x:row r="21" ht="117.25" customHeight="1">
      <x:c r="A21" s="26" t="s">
        <x:v>58</x:v>
      </x:c>
      <x:c r="B21" s="15" t="s">
        <x:v>75</x:v>
      </x:c>
      <x:c r="C21" s="13" t="s">
        <x:v>9</x:v>
      </x:c>
      <x:c r="D21" s="2" t="s">
        <x:v>76</x:v>
      </x:c>
      <x:c r="E21" s="2" t="s">
        <x:v>77</x:v>
      </x:c>
      <x:c r="F21" s="7" t="s">
        <x:v>78</x:v>
      </x:c>
    </x:row>
    <x:row r="22" ht="117.25" customHeight="1">
      <x:c r="A22" s="27" t="s">
        <x:v>79</x:v>
      </x:c>
      <x:c r="B22" s="6" t="s">
        <x:v>62</x:v>
      </x:c>
      <x:c r="C22" s="13" t="s">
        <x:v>9</x:v>
      </x:c>
      <x:c r="D22" s="2" t="s">
        <x:v>80</x:v>
      </x:c>
      <x:c r="E22" s="2" t="s">
        <x:v>81</x:v>
      </x:c>
      <x:c r="F22" s="7" t="s">
        <x:v>61</x:v>
      </x:c>
    </x:row>
    <x:row r="23" ht="117.25" customHeight="1">
      <x:c r="A23" s="28" t="s">
        <x:v>79</x:v>
      </x:c>
      <x:c r="B23" s="6" t="s">
        <x:v>82</x:v>
      </x:c>
      <x:c r="C23" s="11" t="s">
        <x:v>14</x:v>
      </x:c>
      <x:c r="D23" s="2" t="s">
        <x:v>83</x:v>
      </x:c>
      <x:c r="E23" s="2" t="s">
        <x:v>84</x:v>
      </x:c>
      <x:c r="F23" s="7" t="s">
        <x:v>85</x:v>
      </x:c>
    </x:row>
    <x:row r="24" ht="117.25" customHeight="1">
      <x:c r="A24" s="28" t="s">
        <x:v>79</x:v>
      </x:c>
      <x:c r="B24" s="6" t="s">
        <x:v>18</x:v>
      </x:c>
      <x:c r="C24" s="11" t="s">
        <x:v>14</x:v>
      </x:c>
      <x:c r="D24" s="2" t="s">
        <x:v>86</x:v>
      </x:c>
      <x:c r="E24" s="2" t="s">
        <x:v>87</x:v>
      </x:c>
      <x:c r="F24" s="7" t="s">
        <x:v>88</x:v>
      </x:c>
    </x:row>
    <x:row r="25" ht="117.25" customHeight="1">
      <x:c r="A25" s="28" t="s">
        <x:v>79</x:v>
      </x:c>
      <x:c r="B25" s="6" t="s">
        <x:v>22</x:v>
      </x:c>
      <x:c r="C25" s="12" t="s">
        <x:v>23</x:v>
      </x:c>
      <x:c r="D25" s="2" t="s">
        <x:v>89</x:v>
      </x:c>
      <x:c r="E25" s="2" t="s">
        <x:v>90</x:v>
      </x:c>
      <x:c r="F25" s="7" t="s">
        <x:v>91</x:v>
      </x:c>
    </x:row>
    <x:row r="26" ht="117.25" customHeight="1">
      <x:c r="A26" s="28" t="s">
        <x:v>79</x:v>
      </x:c>
      <x:c r="B26" s="15" t="s">
        <x:v>92</x:v>
      </x:c>
      <x:c r="C26" s="11" t="s">
        <x:v>14</x:v>
      </x:c>
      <x:c r="D26" s="2" t="s">
        <x:v>93</x:v>
      </x:c>
      <x:c r="E26" s="2" t="s">
        <x:v>94</x:v>
      </x:c>
      <x:c r="F26" s="7" t="s">
        <x:v>57</x:v>
      </x:c>
    </x:row>
    <x:row r="27" ht="117.25" customHeight="1">
      <x:c r="A27" s="29" t="s">
        <x:v>79</x:v>
      </x:c>
      <x:c r="B27" s="16" t="s">
        <x:v>75</x:v>
      </x:c>
      <x:c r="C27" s="14" t="s">
        <x:v>9</x:v>
      </x:c>
      <x:c r="D27" s="8" t="s">
        <x:v>95</x:v>
      </x:c>
      <x:c r="E27" s="8" t="s">
        <x:v>96</x:v>
      </x:c>
      <x:c r="F27" s="9" t="s">
        <x:v>78</x:v>
      </x:c>
    </x:row>
    <x:row r="29" ht="48" customHeight="1">
      <x:c r="A29" s="30" t="s">
        <x:v>97</x:v>
      </x:c>
      <x:c r="B29" s="30"/>
      <x:c r="C29" s="30"/>
      <x:c r="D29" s="30"/>
      <x:c r="E29" s="30"/>
      <x:c r="F29" s="30"/>
    </x:row>
  </x:sheetData>
  <x:mergeCells>
    <x:mergeCell ref="A29:F29"/>
    <x:mergeCell ref="A1:F1"/>
    <x:mergeCell ref="A4:A9"/>
    <x:mergeCell ref="A10:A15"/>
    <x:mergeCell ref="A16:A21"/>
    <x:mergeCell ref="A22:A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5" hidden="0" customWidth="1"/>
    <x:col min="4" max="4" width="18" hidden="0" customWidth="1"/>
    <x:col min="5" max="5" width="14" hidden="0" customWidth="1"/>
    <x:col min="6" max="6" width="9" hidden="0" customWidth="1"/>
    <x:col min="7" max="7" width="9" hidden="0" customWidth="1"/>
    <x:col min="8" max="8" width="9" hidden="0" customWidth="1"/>
    <x:col min="9" max="9" width="12" hidden="0" customWidth="1"/>
    <x:col min="10" max="10" width="12" hidden="0" customWidth="1"/>
    <x:col min="11" max="11" width="10" hidden="0" customWidth="1"/>
    <x:col min="12" max="12" width="22" hidden="0" customWidth="1"/>
  </x:cols>
  <x:sheetData>
    <x:row r="1" ht="34" customHeight="1">
      <x:c r="A1" s="34" t="str">
        <x:v>低门槛运动推荐评分规则</x:v>
      </x:c>
      <x:c r="B1" s="34" t="str">
        <x:v>低门槛运动推荐评分规则</x:v>
      </x:c>
      <x:c r="C1" s="34" t="str">
        <x:v>低门槛运动推荐评分规则</x:v>
      </x:c>
      <x:c r="D1" s="34" t="str">
        <x:v>低门槛运动推荐评分规则</x:v>
      </x:c>
      <x:c r="E1" s="34" t="str">
        <x:v>低门槛运动推荐评分规则</x:v>
      </x:c>
      <x:c r="F1" s="34" t="str">
        <x:v>低门槛运动推荐评分规则</x:v>
      </x:c>
      <x:c r="G1" s="34" t="str">
        <x:v>低门槛运动推荐评分规则</x:v>
      </x:c>
      <x:c r="H1" s="34" t="str">
        <x:v>低门槛运动推荐评分规则</x:v>
      </x:c>
      <x:c r="I1" s="34" t="str">
        <x:v>低门槛运动推荐评分规则</x:v>
      </x:c>
      <x:c r="J1" s="34" t="str">
        <x:v>低门槛运动推荐评分规则</x:v>
      </x:c>
      <x:c r="K1" s="34" t="str">
        <x:v>低门槛运动推荐评分规则</x:v>
      </x:c>
      <x:c r="L1" s="34" t="str">
        <x:v>低门槛运动推荐评分规则</x:v>
      </x:c>
    </x:row>
    <x:row r="2" ht="30" customHeight="1">
      <x:c r="A2" s="38" t="str">
        <x:v>归档口径：与 iOS ExerciseRecommendationEngine.swift 保持一致；AI运动建议和AI强度建议均为固定审核文案，不由 GPT 生成。</x:v>
      </x:c>
      <x:c r="B2" s="38" t="str">
        <x:v>归档口径：与 iOS ExerciseRecommendationEngine.swift 保持一致；AI运动建议和AI强度建议均为固定审核文案，不由 GPT 生成。</x:v>
      </x:c>
      <x:c r="C2" s="38" t="str">
        <x:v>归档口径：与 iOS ExerciseRecommendationEngine.swift 保持一致；AI运动建议和AI强度建议均为固定审核文案，不由 GPT 生成。</x:v>
      </x:c>
      <x:c r="D2" s="38" t="str">
        <x:v>归档口径：与 iOS ExerciseRecommendationEngine.swift 保持一致；AI运动建议和AI强度建议均为固定审核文案，不由 GPT 生成。</x:v>
      </x:c>
      <x:c r="E2" s="38" t="str">
        <x:v>归档口径：与 iOS ExerciseRecommendationEngine.swift 保持一致；AI运动建议和AI强度建议均为固定审核文案，不由 GPT 生成。</x:v>
      </x:c>
      <x:c r="F2" s="38" t="str">
        <x:v>归档口径：与 iOS ExerciseRecommendationEngine.swift 保持一致；AI运动建议和AI强度建议均为固定审核文案，不由 GPT 生成。</x:v>
      </x:c>
      <x:c r="G2" s="38" t="str">
        <x:v>归档口径：与 iOS ExerciseRecommendationEngine.swift 保持一致；AI运动建议和AI强度建议均为固定审核文案，不由 GPT 生成。</x:v>
      </x:c>
      <x:c r="H2" s="38" t="str">
        <x:v>归档口径：与 iOS ExerciseRecommendationEngine.swift 保持一致；AI运动建议和AI强度建议均为固定审核文案，不由 GPT 生成。</x:v>
      </x:c>
      <x:c r="I2" s="38" t="str">
        <x:v>归档口径：与 iOS ExerciseRecommendationEngine.swift 保持一致；AI运动建议和AI强度建议均为固定审核文案，不由 GPT 生成。</x:v>
      </x:c>
      <x:c r="J2" s="38" t="str">
        <x:v>归档口径：与 iOS ExerciseRecommendationEngine.swift 保持一致；AI运动建议和AI强度建议均为固定审核文案，不由 GPT 生成。</x:v>
      </x:c>
      <x:c r="K2" s="38" t="str">
        <x:v>归档口径：与 iOS ExerciseRecommendationEngine.swift 保持一致；AI运动建议和AI强度建议均为固定审核文案，不由 GPT 生成。</x:v>
      </x:c>
      <x:c r="L2" s="38" t="str">
        <x:v>归档口径：与 iOS ExerciseRecommendationEngine.swift 保持一致；AI运动建议和AI强度建议均为固定审核文案，不由 GPT 生成。</x:v>
      </x:c>
    </x:row>
    <x:row r="4" ht="24" customHeight="1">
      <x:c r="A4" s="41" t="str">
        <x:v>一、产品口径</x:v>
      </x:c>
      <x:c r="B4" s="41" t="str">
        <x:v>一、产品口径</x:v>
      </x:c>
      <x:c r="C4" s="41" t="str">
        <x:v>一、产品口径</x:v>
      </x:c>
      <x:c r="D4" s="41" t="str">
        <x:v>一、产品口径</x:v>
      </x:c>
      <x:c r="E4" s="41" t="str">
        <x:v>一、产品口径</x:v>
      </x:c>
      <x:c r="F4" s="41" t="str">
        <x:v>一、产品口径</x:v>
      </x:c>
      <x:c r="G4" s="41" t="str">
        <x:v>一、产品口径</x:v>
      </x:c>
      <x:c r="H4" s="41" t="str">
        <x:v>一、产品口径</x:v>
      </x:c>
      <x:c r="I4" s="41" t="str">
        <x:v>一、产品口径</x:v>
      </x:c>
      <x:c r="J4" s="41" t="str">
        <x:v>一、产品口径</x:v>
      </x:c>
      <x:c r="K4" s="41" t="str">
        <x:v>一、产品口径</x:v>
      </x:c>
      <x:c r="L4" s="41" t="str">
        <x:v>一、产品口径</x:v>
      </x:c>
    </x:row>
    <x:row r="5" ht="30" customHeight="1">
      <x:c r="A5" s="53" t="str">
        <x:v>文案来源</x:v>
      </x:c>
      <x:c r="B5" s="54" t="str">
        <x:v>原始表中的“AI运动建议”和“AI强度建议”作为固定文案稿；App 仅按运动 ID 读取，不调用 GPT 改写。</x:v>
      </x:c>
      <x:c r="C5" s="54"/>
      <x:c r="D5" s="54"/>
      <x:c r="E5" s="54"/>
      <x:c r="F5" s="54"/>
      <x:c r="G5" s="54"/>
      <x:c r="H5" s="54"/>
      <x:c r="I5" s="54"/>
      <x:c r="J5" s="54"/>
      <x:c r="K5" s="54"/>
      <x:c r="L5" s="54"/>
    </x:row>
    <x:row r="6" ht="30" customHeight="1">
      <x:c r="A6" s="55" t="str">
        <x:v>推荐范围</x:v>
      </x:c>
      <x:c r="B6" s="56" t="str">
        <x:v>先按场景筛出 6 项，再按精力状态与情景状态打分，稳定输出 4 项。</x:v>
      </x:c>
      <x:c r="C6" s="56"/>
      <x:c r="D6" s="56"/>
      <x:c r="E6" s="56"/>
      <x:c r="F6" s="56"/>
      <x:c r="G6" s="56"/>
      <x:c r="H6" s="56"/>
      <x:c r="I6" s="56"/>
      <x:c r="J6" s="56"/>
      <x:c r="K6" s="56"/>
      <x:c r="L6" s="56"/>
    </x:row>
    <x:row r="7" ht="30" customHeight="1">
      <x:c r="A7" s="55" t="str">
        <x:v>完成记录</x:v>
      </x:c>
      <x:c r="B7" s="56" t="str">
        <x:v>运动完成后保存运动 ID、场景、状态、计划时间/时长、固定建议文案及完成状态；不改变评分规则。</x:v>
      </x:c>
      <x:c r="C7" s="56"/>
      <x:c r="D7" s="56"/>
      <x:c r="E7" s="56"/>
      <x:c r="F7" s="56"/>
      <x:c r="G7" s="56"/>
      <x:c r="H7" s="56"/>
      <x:c r="I7" s="56"/>
      <x:c r="J7" s="56"/>
      <x:c r="K7" s="56"/>
      <x:c r="L7" s="56"/>
    </x:row>
    <x:row r="9" ht="24" customHeight="1">
      <x:c r="A9" s="41" t="str">
        <x:v>二、评分公式与权重</x:v>
      </x:c>
      <x:c r="B9" s="41" t="str">
        <x:v>二、评分公式与权重</x:v>
      </x:c>
      <x:c r="C9" s="41" t="str">
        <x:v>二、评分公式与权重</x:v>
      </x:c>
      <x:c r="D9" s="41" t="str">
        <x:v>二、评分公式与权重</x:v>
      </x:c>
      <x:c r="E9" s="41" t="str">
        <x:v>二、评分公式与权重</x:v>
      </x:c>
      <x:c r="F9" s="41" t="str">
        <x:v>二、评分公式与权重</x:v>
      </x:c>
      <x:c r="G9" s="41" t="str">
        <x:v>二、评分公式与权重</x:v>
      </x:c>
      <x:c r="H9" s="41" t="str">
        <x:v>二、评分公式与权重</x:v>
      </x:c>
      <x:c r="I9" s="41" t="str">
        <x:v>二、评分公式与权重</x:v>
      </x:c>
      <x:c r="J9" s="41" t="str">
        <x:v>二、评分公式与权重</x:v>
      </x:c>
      <x:c r="K9" s="41" t="str">
        <x:v>二、评分公式与权重</x:v>
      </x:c>
      <x:c r="L9" s="41" t="str">
        <x:v>二、评分公式与权重</x:v>
      </x:c>
    </x:row>
    <x:row r="10" ht="30" customHeight="1">
      <x:c r="A10" s="62" t="str">
        <x:v>评分组成</x:v>
      </x:c>
      <x:c r="B10" s="62" t="str">
        <x:v>条件</x:v>
      </x:c>
      <x:c r="C10" s="62" t="str">
        <x:v>分值</x:v>
      </x:c>
      <x:c r="D10" s="62" t="str">
        <x:v>审计说明</x:v>
      </x:c>
      <x:c r="F10" s="62" t="str">
        <x:v>序号</x:v>
      </x:c>
      <x:c r="G10" s="62" t="str">
        <x:v>规则</x:v>
      </x:c>
      <x:c r="H10" s="62" t="str">
        <x:v>执行顺序</x:v>
      </x:c>
      <x:c r="I10" s="62" t="str">
        <x:v>是否硬约束</x:v>
      </x:c>
      <x:c r="J10" s="62" t="str">
        <x:v>App 实现位置</x:v>
      </x:c>
      <x:c r="K10" s="62" t="str">
        <x:v>备注</x:v>
      </x:c>
      <x:c r="L10" s="62" t="str">
        <x:v>版本</x:v>
      </x:c>
    </x:row>
    <x:row r="11" ht="36" customHeight="1">
      <x:c r="A11" s="54" t="str">
        <x:v>精力匹配</x:v>
      </x:c>
      <x:c r="B11" s="54" t="str">
        <x:v>所选精力 = 运动能量层级</x:v>
      </x:c>
      <x:c r="C11" s="63" t="n">
        <x:v>4</x:v>
      </x:c>
      <x:c r="D11" s="54" t="str">
        <x:v>完全匹配</x:v>
      </x:c>
      <x:c r="F11" s="65" t="n">
        <x:v>1</x:v>
      </x:c>
      <x:c r="G11" s="65" t="str">
        <x:v>按场景筛选</x:v>
      </x:c>
      <x:c r="H11" s="65" t="n">
        <x:v>1</x:v>
      </x:c>
      <x:c r="I11" s="65" t="str">
        <x:v>是</x:v>
      </x:c>
      <x:c r="J11" s="65" t="str">
        <x:v>ExerciseRecommendationEngine</x:v>
      </x:c>
      <x:c r="K11" s="65" t="str">
        <x:v>每场景固定 6 项</x:v>
      </x:c>
      <x:c r="L11" s="65" t="str">
        <x:v>v1</x:v>
      </x:c>
    </x:row>
    <x:row r="12" ht="74" customHeight="1">
      <x:c r="A12" s="56" t="str">
        <x:v>精力匹配</x:v>
      </x:c>
      <x:c r="B12" s="56" t="str">
        <x:v>相差 1 个能量层级</x:v>
      </x:c>
      <x:c r="C12" s="64" t="n">
        <x:v>2</x:v>
      </x:c>
      <x:c r="D12" s="56" t="str">
        <x:v>相邻匹配</x:v>
      </x:c>
      <x:c r="F12" s="66" t="n">
        <x:v>2</x:v>
      </x:c>
      <x:c r="G12" s="66" t="str">
        <x:v>明显不适或当日最近读数达到安全门槛时不生成运动</x:v>
      </x:c>
      <x:c r="H12" s="66" t="n">
        <x:v>2</x:v>
      </x:c>
      <x:c r="I12" s="66" t="str">
        <x:v>是</x:v>
      </x:c>
      <x:c r="J12" s="66" t="str">
        <x:v>ActionGenerateDemoView</x:v>
      </x:c>
      <x:c r="K12" s="66" t="str">
        <x:v>收缩压≥180 或舒张压≥120，或用户选择明显不适</x:v>
      </x:c>
      <x:c r="L12" s="66" t="str">
        <x:v>v1</x:v>
      </x:c>
    </x:row>
    <x:row r="13" ht="48" customHeight="1">
      <x:c r="A13" s="56" t="str">
        <x:v>精力匹配</x:v>
      </x:c>
      <x:c r="B13" s="56" t="str">
        <x:v>相差 2 个能量层级</x:v>
      </x:c>
      <x:c r="C13" s="64" t="n">
        <x:v>0</x:v>
      </x:c>
      <x:c r="D13" s="56" t="str">
        <x:v>明显不匹配</x:v>
      </x:c>
      <x:c r="F13" s="66" t="n">
        <x:v>3</x:v>
      </x:c>
      <x:c r="G13" s="66" t="str">
        <x:v>无特殊情况与其他情景互斥</x:v>
      </x:c>
      <x:c r="H13" s="66" t="n">
        <x:v>3</x:v>
      </x:c>
      <x:c r="I13" s="66" t="str">
        <x:v>是</x:v>
      </x:c>
      <x:c r="J13" s="66" t="str">
        <x:v>StatusSelectionSheet</x:v>
      </x:c>
      <x:c r="K13" s="66" t="str">
        <x:v>无特殊情况计 0 分</x:v>
      </x:c>
      <x:c r="L13" s="66" t="str">
        <x:v>v1</x:v>
      </x:c>
    </x:row>
    <x:row r="14" ht="50" customHeight="1">
      <x:c r="A14" s="56" t="str">
        <x:v>情景匹配</x:v>
      </x:c>
      <x:c r="B14" s="56" t="str">
        <x:v>优先</x:v>
      </x:c>
      <x:c r="C14" s="64" t="n">
        <x:v>3</x:v>
      </x:c>
      <x:c r="D14" s="56" t="str">
        <x:v>该情景下优先推荐</x:v>
      </x:c>
      <x:c r="F14" s="66" t="n">
        <x:v>4</x:v>
      </x:c>
      <x:c r="G14" s="66" t="str">
        <x:v>多个情景状态分值相加</x:v>
      </x:c>
      <x:c r="H14" s="66" t="n">
        <x:v>4</x:v>
      </x:c>
      <x:c r="I14" s="66" t="str">
        <x:v>是</x:v>
      </x:c>
      <x:c r="J14" s="66" t="str">
        <x:v>ExerciseRecommendationEngine</x:v>
      </x:c>
      <x:c r="K14" s="66" t="str">
        <x:v>推荐结果预览按单一情景展开；App 支持多选</x:v>
      </x:c>
      <x:c r="L14" s="66" t="str">
        <x:v>v1</x:v>
      </x:c>
    </x:row>
    <x:row r="15" ht="50" customHeight="1">
      <x:c r="A15" s="56" t="str">
        <x:v>情景匹配</x:v>
      </x:c>
      <x:c r="B15" s="56" t="str">
        <x:v>兼容</x:v>
      </x:c>
      <x:c r="C15" s="64" t="n">
        <x:v>1</x:v>
      </x:c>
      <x:c r="D15" s="56" t="str">
        <x:v>可推荐</x:v>
      </x:c>
      <x:c r="F15" s="66" t="n">
        <x:v>5</x:v>
      </x:c>
      <x:c r="G15" s="66" t="str">
        <x:v>按总分降序、同分按 catalogOrder 升序</x:v>
      </x:c>
      <x:c r="H15" s="66" t="n">
        <x:v>5</x:v>
      </x:c>
      <x:c r="I15" s="66" t="str">
        <x:v>是</x:v>
      </x:c>
      <x:c r="J15" s="66" t="str">
        <x:v>ExerciseRecommendationEngine</x:v>
      </x:c>
      <x:c r="K15" s="66" t="str">
        <x:v>保证结果稳定</x:v>
      </x:c>
      <x:c r="L15" s="66" t="str">
        <x:v>v1</x:v>
      </x:c>
    </x:row>
    <x:row r="16" ht="42" customHeight="1">
      <x:c r="A16" s="56" t="str">
        <x:v>情景匹配</x:v>
      </x:c>
      <x:c r="B16" s="56" t="str">
        <x:v>降低优先级</x:v>
      </x:c>
      <x:c r="C16" s="64" t="n">
        <x:v>-1</x:v>
      </x:c>
      <x:c r="D16" s="56" t="str">
        <x:v>排序降级</x:v>
      </x:c>
      <x:c r="F16" s="66" t="n">
        <x:v>6</x:v>
      </x:c>
      <x:c r="G16" s="66" t="str">
        <x:v>取前 4 项</x:v>
      </x:c>
      <x:c r="H16" s="66" t="n">
        <x:v>6</x:v>
      </x:c>
      <x:c r="I16" s="66" t="str">
        <x:v>是</x:v>
      </x:c>
      <x:c r="J16" s="66" t="str">
        <x:v>ExerciseRecommendationEngine</x:v>
      </x:c>
      <x:c r="K16" s="66" t="str">
        <x:v>当前运动选择只展示 4 项</x:v>
      </x:c>
      <x:c r="L16" s="66" t="str">
        <x:v>v1</x:v>
      </x:c>
    </x:row>
    <x:row r="17" ht="56" customHeight="1">
      <x:c r="A17" s="56" t="str">
        <x:v>情景匹配</x:v>
      </x:c>
      <x:c r="B17" s="56" t="str">
        <x:v>明显不建议</x:v>
      </x:c>
      <x:c r="C17" s="64" t="n">
        <x:v>-3</x:v>
      </x:c>
      <x:c r="D17" s="56" t="str">
        <x:v>排序显著降级</x:v>
      </x:c>
      <x:c r="F17" s="66" t="n">
        <x:v>7</x:v>
      </x:c>
      <x:c r="G17" s="66" t="str">
        <x:v>等长运动最多 1 项</x:v>
      </x:c>
      <x:c r="H17" s="66" t="n">
        <x:v>7</x:v>
      </x:c>
      <x:c r="I17" s="66" t="str">
        <x:v>是</x:v>
      </x:c>
      <x:c r="J17" s="66" t="str">
        <x:v>ExerciseRecommendationEngine</x:v>
      </x:c>
      <x:c r="K17" s="66" t="str">
        <x:v>避免同一推荐组出现多项等长运动</x:v>
      </x:c>
      <x:c r="L17" s="66" t="str">
        <x:v>v1</x:v>
      </x:c>
    </x:row>
    <x:row r="18" ht="72" customHeight="1">
      <x:c r="A18" s="56" t="str">
        <x:v>最终推荐分</x:v>
      </x:c>
      <x:c r="B18" s="56" t="str">
        <x:v>精力匹配分 + 所有已选情景分之和</x:v>
      </x:c>
      <x:c r="C18" s="56"/>
      <x:c r="D18" s="56" t="str">
        <x:v>按总分降序；同分按目录顺序升序</x:v>
      </x:c>
      <x:c r="F18" s="66" t="n">
        <x:v>8</x:v>
      </x:c>
      <x:c r="G18" s="66" t="str">
        <x:v>场景内兼有有氧/非有氧时保持类型平衡</x:v>
      </x:c>
      <x:c r="H18" s="66" t="n">
        <x:v>8</x:v>
      </x:c>
      <x:c r="I18" s="66" t="str">
        <x:v>是</x:v>
      </x:c>
      <x:c r="J18" s="66" t="str">
        <x:v>ExerciseRecommendationEngine</x:v>
      </x:c>
      <x:c r="K18" s="66" t="str">
        <x:v>必要时用最高排名的缺失类别替换当前最低排名的多余类别</x:v>
      </x:c>
      <x:c r="L18" s="66" t="str">
        <x:v>v1</x:v>
      </x:c>
    </x:row>
    <x:row r="19" ht="50" customHeight="1">
      <x:c r="F19" s="66" t="n">
        <x:v>9</x:v>
      </x:c>
      <x:c r="G19" s="66" t="str">
        <x:v>公共室外全部为有氧运动时跳过类型平衡</x:v>
      </x:c>
      <x:c r="H19" s="66" t="n">
        <x:v>9</x:v>
      </x:c>
      <x:c r="I19" s="66" t="str">
        <x:v>是</x:v>
      </x:c>
      <x:c r="J19" s="66" t="str">
        <x:v>ExerciseRecommendationEngine</x:v>
      </x:c>
      <x:c r="K19" s="66" t="str">
        <x:v>不强造不存在的运动类别</x:v>
      </x:c>
      <x:c r="L19" s="66" t="str">
        <x:v>v1</x:v>
      </x:c>
    </x:row>
    <x:row r="20" ht="62" customHeight="1">
      <x:c r="F20" s="66" t="n">
        <x:v>10</x:v>
      </x:c>
      <x:c r="G20" s="66" t="str">
        <x:v>情景降级不等于医疗判断</x:v>
      </x:c>
      <x:c r="H20" s="66" t="n">
        <x:v>10</x:v>
      </x:c>
      <x:c r="I20" s="66" t="str">
        <x:v>否</x:v>
      </x:c>
      <x:c r="J20" s="66" t="str">
        <x:v>产品文案</x:v>
      </x:c>
      <x:c r="K20" s="66" t="str">
        <x:v>运动建议为支持性建议；出现明显不适应优先休息并复测</x:v>
      </x:c>
      <x:c r="L20" s="66" t="str">
        <x:v>v1</x:v>
      </x:c>
    </x:row>
    <x:row r="22" ht="24" customHeight="1">
      <x:c r="A22" s="41" t="str">
        <x:v>三、App 目录映射（24 项；评分输入源）</x:v>
      </x:c>
      <x:c r="B22" s="41" t="str">
        <x:v>三、App 目录映射（24 项；评分输入源）</x:v>
      </x:c>
      <x:c r="C22" s="41" t="str">
        <x:v>三、App 目录映射（24 项；评分输入源）</x:v>
      </x:c>
      <x:c r="D22" s="41" t="str">
        <x:v>三、App 目录映射（24 项；评分输入源）</x:v>
      </x:c>
      <x:c r="E22" s="41" t="str">
        <x:v>三、App 目录映射（24 项；评分输入源）</x:v>
      </x:c>
      <x:c r="F22" s="41" t="str">
        <x:v>三、App 目录映射（24 项；评分输入源）</x:v>
      </x:c>
      <x:c r="G22" s="41" t="str">
        <x:v>三、App 目录映射（24 项；评分输入源）</x:v>
      </x:c>
      <x:c r="H22" s="41" t="str">
        <x:v>三、App 目录映射（24 项；评分输入源）</x:v>
      </x:c>
      <x:c r="I22" s="41" t="str">
        <x:v>三、App 目录映射（24 项；评分输入源）</x:v>
      </x:c>
      <x:c r="J22" s="41" t="str">
        <x:v>三、App 目录映射（24 项；评分输入源）</x:v>
      </x:c>
      <x:c r="K22" s="41" t="str">
        <x:v>三、App 目录映射（24 项；评分输入源）</x:v>
      </x:c>
      <x:c r="L22" s="41" t="str">
        <x:v>三、App 目录映射（24 项；评分输入源）</x:v>
      </x:c>
    </x:row>
    <x:row r="23" ht="30" customHeight="1">
      <x:c r="A23" s="62" t="str">
        <x:v>稳定 ID</x:v>
      </x:c>
      <x:c r="B23" s="62" t="str">
        <x:v>场景</x:v>
      </x:c>
      <x:c r="C23" s="62" t="str">
        <x:v>运动名称</x:v>
      </x:c>
      <x:c r="D23" s="62" t="str">
        <x:v>运动类型</x:v>
      </x:c>
      <x:c r="E23" s="62" t="str">
        <x:v>能量层级</x:v>
      </x:c>
      <x:c r="F23" s="62" t="str">
        <x:v>饭后</x:v>
      </x:c>
      <x:c r="G23" s="62" t="str">
        <x:v>久坐后</x:v>
      </x:c>
      <x:c r="H23" s="62" t="str">
        <x:v>压力后</x:v>
      </x:c>
      <x:c r="I23" s="62" t="str">
        <x:v>睡眠不足</x:v>
      </x:c>
      <x:c r="J23" s="62" t="str">
        <x:v>刚活动后</x:v>
      </x:c>
      <x:c r="K23" s="62" t="str">
        <x:v>目录顺序</x:v>
      </x:c>
      <x:c r="L23" s="62" t="str">
        <x:v>固定文案口径</x:v>
      </x:c>
    </x:row>
    <x:row r="24" ht="30" customHeight="1">
      <x:c r="A24" s="67" t="str">
        <x:v>private-indoor-march-in-place</x:v>
      </x:c>
      <x:c r="B24" s="67" t="str">
        <x:v>私人室内</x:v>
      </x:c>
      <x:c r="C24" s="67" t="str">
        <x:v>原地踏步</x:v>
      </x:c>
      <x:c r="D24" s="67" t="str">
        <x:v>有氧运动</x:v>
      </x:c>
      <x:c r="E24" s="67" t="str">
        <x:v>精力一般</x:v>
      </x:c>
      <x:c r="F24" s="68" t="n">
        <x:v>1</x:v>
      </x:c>
      <x:c r="G24" s="68" t="n">
        <x:v>3</x:v>
      </x:c>
      <x:c r="H24" s="68" t="n">
        <x:v>3</x:v>
      </x:c>
      <x:c r="I24" s="68" t="n">
        <x:v>-1</x:v>
      </x:c>
      <x:c r="J24" s="68" t="n">
        <x:v>-1</x:v>
      </x:c>
      <x:c r="K24" s="68" t="n">
        <x:v>0</x:v>
      </x:c>
      <x:c r="L24" s="67" t="str">
        <x:v>仅使用原表审核文案</x:v>
      </x:c>
    </x:row>
    <x:row r="25" ht="30" customHeight="1">
      <x:c r="A25" s="56" t="str">
        <x:v>private-indoor-sit-to-stand</x:v>
      </x:c>
      <x:c r="B25" s="56" t="str">
        <x:v>私人室内</x:v>
      </x:c>
      <x:c r="C25" s="56" t="str">
        <x:v>坐站练习</x:v>
      </x:c>
      <x:c r="D25" s="56" t="str">
        <x:v>动态抗阻运动</x:v>
      </x:c>
      <x:c r="E25" s="56" t="str">
        <x:v>精力一般</x:v>
      </x:c>
      <x:c r="F25" s="64" t="n">
        <x:v>-1</x:v>
      </x:c>
      <x:c r="G25" s="64" t="n">
        <x:v>3</x:v>
      </x:c>
      <x:c r="H25" s="64" t="n">
        <x:v>-1</x:v>
      </x:c>
      <x:c r="I25" s="64" t="n">
        <x:v>-1</x:v>
      </x:c>
      <x:c r="J25" s="64" t="n">
        <x:v>-1</x:v>
      </x:c>
      <x:c r="K25" s="64" t="n">
        <x:v>1</x:v>
      </x:c>
      <x:c r="L25" s="56" t="str">
        <x:v>仅使用原表审核文案</x:v>
      </x:c>
    </x:row>
    <x:row r="26" ht="30" customHeight="1">
      <x:c r="A26" s="69" t="str">
        <x:v>private-indoor-wall-push-up</x:v>
      </x:c>
      <x:c r="B26" s="69" t="str">
        <x:v>私人室内</x:v>
      </x:c>
      <x:c r="C26" s="69" t="str">
        <x:v>靠墙俯卧撑</x:v>
      </x:c>
      <x:c r="D26" s="69" t="str">
        <x:v>动态抗阻运动</x:v>
      </x:c>
      <x:c r="E26" s="69" t="str">
        <x:v>精力一般</x:v>
      </x:c>
      <x:c r="F26" s="70" t="n">
        <x:v>-1</x:v>
      </x:c>
      <x:c r="G26" s="70" t="n">
        <x:v>1</x:v>
      </x:c>
      <x:c r="H26" s="70" t="n">
        <x:v>-1</x:v>
      </x:c>
      <x:c r="I26" s="70" t="n">
        <x:v>-1</x:v>
      </x:c>
      <x:c r="J26" s="70" t="n">
        <x:v>-1</x:v>
      </x:c>
      <x:c r="K26" s="70" t="n">
        <x:v>2</x:v>
      </x:c>
      <x:c r="L26" s="69" t="str">
        <x:v>仅使用原表审核文案</x:v>
      </x:c>
    </x:row>
    <x:row r="27" ht="30" customHeight="1">
      <x:c r="A27" s="56" t="str">
        <x:v>private-indoor-wall-sit</x:v>
      </x:c>
      <x:c r="B27" s="56" t="str">
        <x:v>私人室内</x:v>
      </x:c>
      <x:c r="C27" s="56" t="str">
        <x:v>靠墙静蹲</x:v>
      </x:c>
      <x:c r="D27" s="56" t="str">
        <x:v>等长运动</x:v>
      </x:c>
      <x:c r="E27" s="56" t="str">
        <x:v>精力较好</x:v>
      </x:c>
      <x:c r="F27" s="64" t="n">
        <x:v>-3</x:v>
      </x:c>
      <x:c r="G27" s="64" t="n">
        <x:v>-1</x:v>
      </x:c>
      <x:c r="H27" s="64" t="n">
        <x:v>-3</x:v>
      </x:c>
      <x:c r="I27" s="64" t="n">
        <x:v>-3</x:v>
      </x:c>
      <x:c r="J27" s="64" t="n">
        <x:v>-3</x:v>
      </x:c>
      <x:c r="K27" s="64" t="n">
        <x:v>3</x:v>
      </x:c>
      <x:c r="L27" s="56" t="str">
        <x:v>仅使用原表审核文案</x:v>
      </x:c>
    </x:row>
    <x:row r="28" ht="30" customHeight="1">
      <x:c r="A28" s="69" t="str">
        <x:v>private-indoor-seated-alternating-knee-lift</x:v>
      </x:c>
      <x:c r="B28" s="69" t="str">
        <x:v>私人室内</x:v>
      </x:c>
      <x:c r="C28" s="69" t="str">
        <x:v>坐姿交替抬膝</x:v>
      </x:c>
      <x:c r="D28" s="69" t="str">
        <x:v>有氧运动</x:v>
      </x:c>
      <x:c r="E28" s="69" t="str">
        <x:v>精力低</x:v>
      </x:c>
      <x:c r="F28" s="70" t="n">
        <x:v>1</x:v>
      </x:c>
      <x:c r="G28" s="70" t="n">
        <x:v>3</x:v>
      </x:c>
      <x:c r="H28" s="70" t="n">
        <x:v>1</x:v>
      </x:c>
      <x:c r="I28" s="70" t="n">
        <x:v>3</x:v>
      </x:c>
      <x:c r="J28" s="70" t="n">
        <x:v>1</x:v>
      </x:c>
      <x:c r="K28" s="70" t="n">
        <x:v>4</x:v>
      </x:c>
      <x:c r="L28" s="69" t="str">
        <x:v>仅使用原表审核文案</x:v>
      </x:c>
    </x:row>
    <x:row r="29" ht="30" customHeight="1">
      <x:c r="A29" s="56" t="str">
        <x:v>private-indoor-seated-knee-extension</x:v>
      </x:c>
      <x:c r="B29" s="56" t="str">
        <x:v>私人室内</x:v>
      </x:c>
      <x:c r="C29" s="56" t="str">
        <x:v>坐姿伸膝</x:v>
      </x:c>
      <x:c r="D29" s="56" t="str">
        <x:v>动态抗阻运动</x:v>
      </x:c>
      <x:c r="E29" s="56" t="str">
        <x:v>精力低</x:v>
      </x:c>
      <x:c r="F29" s="64" t="n">
        <x:v>-1</x:v>
      </x:c>
      <x:c r="G29" s="64" t="n">
        <x:v>3</x:v>
      </x:c>
      <x:c r="H29" s="64" t="n">
        <x:v>1</x:v>
      </x:c>
      <x:c r="I29" s="64" t="n">
        <x:v>3</x:v>
      </x:c>
      <x:c r="J29" s="64" t="n">
        <x:v>1</x:v>
      </x:c>
      <x:c r="K29" s="64" t="n">
        <x:v>5</x:v>
      </x:c>
      <x:c r="L29" s="56" t="str">
        <x:v>仅使用原表审核文案</x:v>
      </x:c>
    </x:row>
    <x:row r="30" ht="30" customHeight="1">
      <x:c r="A30" s="69" t="str">
        <x:v>public-indoor-slow-walk</x:v>
      </x:c>
      <x:c r="B30" s="69" t="str">
        <x:v>公共室内</x:v>
      </x:c>
      <x:c r="C30" s="69" t="str">
        <x:v>慢走</x:v>
      </x:c>
      <x:c r="D30" s="69" t="str">
        <x:v>有氧运动</x:v>
      </x:c>
      <x:c r="E30" s="69" t="str">
        <x:v>精力低</x:v>
      </x:c>
      <x:c r="F30" s="70" t="n">
        <x:v>3</x:v>
      </x:c>
      <x:c r="G30" s="70" t="n">
        <x:v>3</x:v>
      </x:c>
      <x:c r="H30" s="70" t="n">
        <x:v>3</x:v>
      </x:c>
      <x:c r="I30" s="70" t="n">
        <x:v>3</x:v>
      </x:c>
      <x:c r="J30" s="70" t="n">
        <x:v>3</x:v>
      </x:c>
      <x:c r="K30" s="70" t="n">
        <x:v>6</x:v>
      </x:c>
      <x:c r="L30" s="69" t="str">
        <x:v>仅使用原表审核文案</x:v>
      </x:c>
    </x:row>
    <x:row r="31" ht="30" customHeight="1">
      <x:c r="A31" s="56" t="str">
        <x:v>public-indoor-march-in-place</x:v>
      </x:c>
      <x:c r="B31" s="56" t="str">
        <x:v>公共室内</x:v>
      </x:c>
      <x:c r="C31" s="56" t="str">
        <x:v>原地踏步</x:v>
      </x:c>
      <x:c r="D31" s="56" t="str">
        <x:v>有氧运动</x:v>
      </x:c>
      <x:c r="E31" s="56" t="str">
        <x:v>精力一般</x:v>
      </x:c>
      <x:c r="F31" s="64" t="n">
        <x:v>1</x:v>
      </x:c>
      <x:c r="G31" s="64" t="n">
        <x:v>3</x:v>
      </x:c>
      <x:c r="H31" s="64" t="n">
        <x:v>3</x:v>
      </x:c>
      <x:c r="I31" s="64" t="n">
        <x:v>-1</x:v>
      </x:c>
      <x:c r="J31" s="64" t="n">
        <x:v>-1</x:v>
      </x:c>
      <x:c r="K31" s="64" t="n">
        <x:v>7</x:v>
      </x:c>
      <x:c r="L31" s="56" t="str">
        <x:v>仅使用原表审核文案</x:v>
      </x:c>
    </x:row>
    <x:row r="32" ht="30" customHeight="1">
      <x:c r="A32" s="69" t="str">
        <x:v>public-indoor-side-step</x:v>
      </x:c>
      <x:c r="B32" s="69" t="str">
        <x:v>公共室内</x:v>
      </x:c>
      <x:c r="C32" s="69" t="str">
        <x:v>侧向踏步</x:v>
      </x:c>
      <x:c r="D32" s="69" t="str">
        <x:v>有氧运动</x:v>
      </x:c>
      <x:c r="E32" s="69" t="str">
        <x:v>精力一般</x:v>
      </x:c>
      <x:c r="F32" s="70" t="n">
        <x:v>1</x:v>
      </x:c>
      <x:c r="G32" s="70" t="n">
        <x:v>3</x:v>
      </x:c>
      <x:c r="H32" s="70" t="n">
        <x:v>3</x:v>
      </x:c>
      <x:c r="I32" s="70" t="n">
        <x:v>-1</x:v>
      </x:c>
      <x:c r="J32" s="70" t="n">
        <x:v>-1</x:v>
      </x:c>
      <x:c r="K32" s="70" t="n">
        <x:v>8</x:v>
      </x:c>
      <x:c r="L32" s="69" t="str">
        <x:v>仅使用原表审核文案</x:v>
      </x:c>
    </x:row>
    <x:row r="33" ht="30" customHeight="1">
      <x:c r="A33" s="56" t="str">
        <x:v>public-indoor-calf-raise</x:v>
      </x:c>
      <x:c r="B33" s="56" t="str">
        <x:v>公共室内</x:v>
      </x:c>
      <x:c r="C33" s="56" t="str">
        <x:v>提踵</x:v>
      </x:c>
      <x:c r="D33" s="56" t="str">
        <x:v>动态抗阻运动</x:v>
      </x:c>
      <x:c r="E33" s="56" t="str">
        <x:v>精力低</x:v>
      </x:c>
      <x:c r="F33" s="64" t="n">
        <x:v>-1</x:v>
      </x:c>
      <x:c r="G33" s="64" t="n">
        <x:v>3</x:v>
      </x:c>
      <x:c r="H33" s="64" t="n">
        <x:v>1</x:v>
      </x:c>
      <x:c r="I33" s="64" t="n">
        <x:v>3</x:v>
      </x:c>
      <x:c r="J33" s="64" t="n">
        <x:v>1</x:v>
      </x:c>
      <x:c r="K33" s="64" t="n">
        <x:v>9</x:v>
      </x:c>
      <x:c r="L33" s="56" t="str">
        <x:v>仅使用原表审核文案</x:v>
      </x:c>
    </x:row>
    <x:row r="34" ht="30" customHeight="1">
      <x:c r="A34" s="69" t="str">
        <x:v>public-indoor-forward-back-tap</x:v>
      </x:c>
      <x:c r="B34" s="69" t="str">
        <x:v>公共室内</x:v>
      </x:c>
      <x:c r="C34" s="69" t="str">
        <x:v>前后点步</x:v>
      </x:c>
      <x:c r="D34" s="69" t="str">
        <x:v>有氧运动</x:v>
      </x:c>
      <x:c r="E34" s="69" t="str">
        <x:v>精力一般</x:v>
      </x:c>
      <x:c r="F34" s="70" t="n">
        <x:v>1</x:v>
      </x:c>
      <x:c r="G34" s="70" t="n">
        <x:v>3</x:v>
      </x:c>
      <x:c r="H34" s="70" t="n">
        <x:v>3</x:v>
      </x:c>
      <x:c r="I34" s="70" t="n">
        <x:v>1</x:v>
      </x:c>
      <x:c r="J34" s="70" t="n">
        <x:v>1</x:v>
      </x:c>
      <x:c r="K34" s="70" t="n">
        <x:v>10</x:v>
      </x:c>
      <x:c r="L34" s="69" t="str">
        <x:v>仅使用原表审核文案</x:v>
      </x:c>
    </x:row>
    <x:row r="35" ht="30" customHeight="1">
      <x:c r="A35" s="56" t="str">
        <x:v>public-indoor-supported-side-leg-raise</x:v>
      </x:c>
      <x:c r="B35" s="56" t="str">
        <x:v>公共室内</x:v>
      </x:c>
      <x:c r="C35" s="56" t="str">
        <x:v>扶墙侧抬腿</x:v>
      </x:c>
      <x:c r="D35" s="56" t="str">
        <x:v>动态抗阻运动</x:v>
      </x:c>
      <x:c r="E35" s="56" t="str">
        <x:v>精力低</x:v>
      </x:c>
      <x:c r="F35" s="64" t="n">
        <x:v>-1</x:v>
      </x:c>
      <x:c r="G35" s="64" t="n">
        <x:v>3</x:v>
      </x:c>
      <x:c r="H35" s="64" t="n">
        <x:v>1</x:v>
      </x:c>
      <x:c r="I35" s="64" t="n">
        <x:v>3</x:v>
      </x:c>
      <x:c r="J35" s="64" t="n">
        <x:v>1</x:v>
      </x:c>
      <x:c r="K35" s="64" t="n">
        <x:v>11</x:v>
      </x:c>
      <x:c r="L35" s="56" t="str">
        <x:v>仅使用原表审核文案</x:v>
      </x:c>
    </x:row>
    <x:row r="36" ht="30" customHeight="1">
      <x:c r="A36" s="69" t="str">
        <x:v>public-outdoor-slow-walk</x:v>
      </x:c>
      <x:c r="B36" s="69" t="str">
        <x:v>公共室外</x:v>
      </x:c>
      <x:c r="C36" s="69" t="str">
        <x:v>慢走</x:v>
      </x:c>
      <x:c r="D36" s="69" t="str">
        <x:v>有氧运动</x:v>
      </x:c>
      <x:c r="E36" s="69" t="str">
        <x:v>精力低</x:v>
      </x:c>
      <x:c r="F36" s="70" t="n">
        <x:v>3</x:v>
      </x:c>
      <x:c r="G36" s="70" t="n">
        <x:v>3</x:v>
      </x:c>
      <x:c r="H36" s="70" t="n">
        <x:v>3</x:v>
      </x:c>
      <x:c r="I36" s="70" t="n">
        <x:v>3</x:v>
      </x:c>
      <x:c r="J36" s="70" t="n">
        <x:v>3</x:v>
      </x:c>
      <x:c r="K36" s="70" t="n">
        <x:v>12</x:v>
      </x:c>
      <x:c r="L36" s="69" t="str">
        <x:v>仅使用原表审核文案</x:v>
      </x:c>
    </x:row>
    <x:row r="37" ht="30" customHeight="1">
      <x:c r="A37" s="56" t="str">
        <x:v>public-outdoor-moderate-brisk-walk</x:v>
      </x:c>
      <x:c r="B37" s="56" t="str">
        <x:v>公共室外</x:v>
      </x:c>
      <x:c r="C37" s="56" t="str">
        <x:v>适度快走</x:v>
      </x:c>
      <x:c r="D37" s="56" t="str">
        <x:v>有氧运动</x:v>
      </x:c>
      <x:c r="E37" s="56" t="str">
        <x:v>精力较好</x:v>
      </x:c>
      <x:c r="F37" s="64" t="n">
        <x:v>1</x:v>
      </x:c>
      <x:c r="G37" s="64" t="n">
        <x:v>1</x:v>
      </x:c>
      <x:c r="H37" s="64" t="n">
        <x:v>3</x:v>
      </x:c>
      <x:c r="I37" s="64" t="n">
        <x:v>-3</x:v>
      </x:c>
      <x:c r="J37" s="64" t="n">
        <x:v>-3</x:v>
      </x:c>
      <x:c r="K37" s="64" t="n">
        <x:v>13</x:v>
      </x:c>
      <x:c r="L37" s="56" t="str">
        <x:v>仅使用原表审核文案</x:v>
      </x:c>
    </x:row>
    <x:row r="38" ht="30" customHeight="1">
      <x:c r="A38" s="69" t="str">
        <x:v>public-outdoor-side-step</x:v>
      </x:c>
      <x:c r="B38" s="69" t="str">
        <x:v>公共室外</x:v>
      </x:c>
      <x:c r="C38" s="69" t="str">
        <x:v>侧向踏步</x:v>
      </x:c>
      <x:c r="D38" s="69" t="str">
        <x:v>有氧运动</x:v>
      </x:c>
      <x:c r="E38" s="69" t="str">
        <x:v>精力一般</x:v>
      </x:c>
      <x:c r="F38" s="70" t="n">
        <x:v>1</x:v>
      </x:c>
      <x:c r="G38" s="70" t="n">
        <x:v>3</x:v>
      </x:c>
      <x:c r="H38" s="70" t="n">
        <x:v>3</x:v>
      </x:c>
      <x:c r="I38" s="70" t="n">
        <x:v>-1</x:v>
      </x:c>
      <x:c r="J38" s="70" t="n">
        <x:v>-1</x:v>
      </x:c>
      <x:c r="K38" s="70" t="n">
        <x:v>14</x:v>
      </x:c>
      <x:c r="L38" s="69" t="str">
        <x:v>仅使用原表审核文案</x:v>
      </x:c>
    </x:row>
    <x:row r="39" ht="30" customHeight="1">
      <x:c r="A39" s="56" t="str">
        <x:v>public-outdoor-step-jack</x:v>
      </x:c>
      <x:c r="B39" s="56" t="str">
        <x:v>公共室外</x:v>
      </x:c>
      <x:c r="C39" s="56" t="str">
        <x:v>开合步</x:v>
      </x:c>
      <x:c r="D39" s="56" t="str">
        <x:v>有氧运动</x:v>
      </x:c>
      <x:c r="E39" s="56" t="str">
        <x:v>精力较好</x:v>
      </x:c>
      <x:c r="F39" s="64" t="n">
        <x:v>-1</x:v>
      </x:c>
      <x:c r="G39" s="64" t="n">
        <x:v>3</x:v>
      </x:c>
      <x:c r="H39" s="64" t="n">
        <x:v>3</x:v>
      </x:c>
      <x:c r="I39" s="64" t="n">
        <x:v>-3</x:v>
      </x:c>
      <x:c r="J39" s="64" t="n">
        <x:v>-3</x:v>
      </x:c>
      <x:c r="K39" s="64" t="n">
        <x:v>15</x:v>
      </x:c>
      <x:c r="L39" s="56" t="str">
        <x:v>仅使用原表审核文案</x:v>
      </x:c>
    </x:row>
    <x:row r="40" ht="30" customHeight="1">
      <x:c r="A40" s="69" t="str">
        <x:v>public-outdoor-forward-back-tap</x:v>
      </x:c>
      <x:c r="B40" s="69" t="str">
        <x:v>公共室外</x:v>
      </x:c>
      <x:c r="C40" s="69" t="str">
        <x:v>前后点步</x:v>
      </x:c>
      <x:c r="D40" s="69" t="str">
        <x:v>有氧运动</x:v>
      </x:c>
      <x:c r="E40" s="69" t="str">
        <x:v>精力一般</x:v>
      </x:c>
      <x:c r="F40" s="70" t="n">
        <x:v>1</x:v>
      </x:c>
      <x:c r="G40" s="70" t="n">
        <x:v>3</x:v>
      </x:c>
      <x:c r="H40" s="70" t="n">
        <x:v>3</x:v>
      </x:c>
      <x:c r="I40" s="70" t="n">
        <x:v>1</x:v>
      </x:c>
      <x:c r="J40" s="70" t="n">
        <x:v>1</x:v>
      </x:c>
      <x:c r="K40" s="70" t="n">
        <x:v>16</x:v>
      </x:c>
      <x:c r="L40" s="69" t="str">
        <x:v>仅使用原表审核文案</x:v>
      </x:c>
    </x:row>
    <x:row r="41" ht="30" customHeight="1">
      <x:c r="A41" s="56" t="str">
        <x:v>public-outdoor-low-step-up</x:v>
      </x:c>
      <x:c r="B41" s="56" t="str">
        <x:v>公共室外</x:v>
      </x:c>
      <x:c r="C41" s="56" t="str">
        <x:v>低台阶踏步</x:v>
      </x:c>
      <x:c r="D41" s="56" t="str">
        <x:v>有氧运动</x:v>
      </x:c>
      <x:c r="E41" s="56" t="str">
        <x:v>精力较好</x:v>
      </x:c>
      <x:c r="F41" s="64" t="n">
        <x:v>-3</x:v>
      </x:c>
      <x:c r="G41" s="64" t="n">
        <x:v>1</x:v>
      </x:c>
      <x:c r="H41" s="64" t="n">
        <x:v>1</x:v>
      </x:c>
      <x:c r="I41" s="64" t="n">
        <x:v>-3</x:v>
      </x:c>
      <x:c r="J41" s="64" t="n">
        <x:v>-3</x:v>
      </x:c>
      <x:c r="K41" s="64" t="n">
        <x:v>17</x:v>
      </x:c>
      <x:c r="L41" s="56" t="str">
        <x:v>仅使用原表审核文案</x:v>
      </x:c>
    </x:row>
    <x:row r="42" ht="30" customHeight="1">
      <x:c r="A42" s="69" t="str">
        <x:v>private-open-outdoor-moderate-brisk-walk</x:v>
      </x:c>
      <x:c r="B42" s="69" t="str">
        <x:v>私人／开放室外</x:v>
      </x:c>
      <x:c r="C42" s="69" t="str">
        <x:v>适度快走</x:v>
      </x:c>
      <x:c r="D42" s="69" t="str">
        <x:v>有氧运动</x:v>
      </x:c>
      <x:c r="E42" s="69" t="str">
        <x:v>精力较好</x:v>
      </x:c>
      <x:c r="F42" s="70" t="n">
        <x:v>1</x:v>
      </x:c>
      <x:c r="G42" s="70" t="n">
        <x:v>1</x:v>
      </x:c>
      <x:c r="H42" s="70" t="n">
        <x:v>3</x:v>
      </x:c>
      <x:c r="I42" s="70" t="n">
        <x:v>-3</x:v>
      </x:c>
      <x:c r="J42" s="70" t="n">
        <x:v>-3</x:v>
      </x:c>
      <x:c r="K42" s="70" t="n">
        <x:v>18</x:v>
      </x:c>
      <x:c r="L42" s="69" t="str">
        <x:v>仅使用原表审核文案</x:v>
      </x:c>
    </x:row>
    <x:row r="43" ht="30" customHeight="1">
      <x:c r="A43" s="56" t="str">
        <x:v>private-open-outdoor-shallow-squat</x:v>
      </x:c>
      <x:c r="B43" s="56" t="str">
        <x:v>私人／开放室外</x:v>
      </x:c>
      <x:c r="C43" s="56" t="str">
        <x:v>浅蹲</x:v>
      </x:c>
      <x:c r="D43" s="56" t="str">
        <x:v>动态抗阻运动</x:v>
      </x:c>
      <x:c r="E43" s="56" t="str">
        <x:v>精力一般</x:v>
      </x:c>
      <x:c r="F43" s="64" t="n">
        <x:v>-1</x:v>
      </x:c>
      <x:c r="G43" s="64" t="n">
        <x:v>3</x:v>
      </x:c>
      <x:c r="H43" s="64" t="n">
        <x:v>-1</x:v>
      </x:c>
      <x:c r="I43" s="64" t="n">
        <x:v>-1</x:v>
      </x:c>
      <x:c r="J43" s="64" t="n">
        <x:v>-1</x:v>
      </x:c>
      <x:c r="K43" s="64" t="n">
        <x:v>19</x:v>
      </x:c>
      <x:c r="L43" s="56" t="str">
        <x:v>仅使用原表审核文案</x:v>
      </x:c>
    </x:row>
    <x:row r="44" ht="30" customHeight="1">
      <x:c r="A44" s="69" t="str">
        <x:v>private-open-outdoor-wall-push-up</x:v>
      </x:c>
      <x:c r="B44" s="69" t="str">
        <x:v>私人／开放室外</x:v>
      </x:c>
      <x:c r="C44" s="69" t="str">
        <x:v>靠墙俯卧撑</x:v>
      </x:c>
      <x:c r="D44" s="69" t="str">
        <x:v>动态抗阻运动</x:v>
      </x:c>
      <x:c r="E44" s="69" t="str">
        <x:v>精力一般</x:v>
      </x:c>
      <x:c r="F44" s="70" t="n">
        <x:v>-1</x:v>
      </x:c>
      <x:c r="G44" s="70" t="n">
        <x:v>1</x:v>
      </x:c>
      <x:c r="H44" s="70" t="n">
        <x:v>-1</x:v>
      </x:c>
      <x:c r="I44" s="70" t="n">
        <x:v>1</x:v>
      </x:c>
      <x:c r="J44" s="70" t="n">
        <x:v>1</x:v>
      </x:c>
      <x:c r="K44" s="70" t="n">
        <x:v>20</x:v>
      </x:c>
      <x:c r="L44" s="69" t="str">
        <x:v>仅使用原表审核文案</x:v>
      </x:c>
    </x:row>
    <x:row r="45" ht="30" customHeight="1">
      <x:c r="A45" s="56" t="str">
        <x:v>private-open-outdoor-wall-sit</x:v>
      </x:c>
      <x:c r="B45" s="56" t="str">
        <x:v>私人／开放室外</x:v>
      </x:c>
      <x:c r="C45" s="56" t="str">
        <x:v>靠墙静蹲</x:v>
      </x:c>
      <x:c r="D45" s="56" t="str">
        <x:v>等长运动</x:v>
      </x:c>
      <x:c r="E45" s="56" t="str">
        <x:v>精力较好</x:v>
      </x:c>
      <x:c r="F45" s="64" t="n">
        <x:v>-3</x:v>
      </x:c>
      <x:c r="G45" s="64" t="n">
        <x:v>-1</x:v>
      </x:c>
      <x:c r="H45" s="64" t="n">
        <x:v>-3</x:v>
      </x:c>
      <x:c r="I45" s="64" t="n">
        <x:v>-3</x:v>
      </x:c>
      <x:c r="J45" s="64" t="n">
        <x:v>-3</x:v>
      </x:c>
      <x:c r="K45" s="64" t="n">
        <x:v>21</x:v>
      </x:c>
      <x:c r="L45" s="56" t="str">
        <x:v>仅使用原表审核文案</x:v>
      </x:c>
    </x:row>
    <x:row r="46" ht="30" customHeight="1">
      <x:c r="A46" s="69" t="str">
        <x:v>private-open-outdoor-supported-back-leg-raise</x:v>
      </x:c>
      <x:c r="B46" s="69" t="str">
        <x:v>私人／开放室外</x:v>
      </x:c>
      <x:c r="C46" s="69" t="str">
        <x:v>扶墙后抬腿</x:v>
      </x:c>
      <x:c r="D46" s="69" t="str">
        <x:v>动态抗阻运动</x:v>
      </x:c>
      <x:c r="E46" s="69" t="str">
        <x:v>精力低</x:v>
      </x:c>
      <x:c r="F46" s="70" t="n">
        <x:v>-1</x:v>
      </x:c>
      <x:c r="G46" s="70" t="n">
        <x:v>3</x:v>
      </x:c>
      <x:c r="H46" s="70" t="n">
        <x:v>1</x:v>
      </x:c>
      <x:c r="I46" s="70" t="n">
        <x:v>3</x:v>
      </x:c>
      <x:c r="J46" s="70" t="n">
        <x:v>1</x:v>
      </x:c>
      <x:c r="K46" s="70" t="n">
        <x:v>22</x:v>
      </x:c>
      <x:c r="L46" s="69" t="str">
        <x:v>仅使用原表审核文案</x:v>
      </x:c>
    </x:row>
    <x:row r="47" ht="30" customHeight="1">
      <x:c r="A47" s="56" t="str">
        <x:v>private-open-outdoor-low-step-up</x:v>
      </x:c>
      <x:c r="B47" s="56" t="str">
        <x:v>私人／开放室外</x:v>
      </x:c>
      <x:c r="C47" s="56" t="str">
        <x:v>低台阶踏步</x:v>
      </x:c>
      <x:c r="D47" s="56" t="str">
        <x:v>有氧运动</x:v>
      </x:c>
      <x:c r="E47" s="56" t="str">
        <x:v>精力较好</x:v>
      </x:c>
      <x:c r="F47" s="64" t="n">
        <x:v>-3</x:v>
      </x:c>
      <x:c r="G47" s="64" t="n">
        <x:v>1</x:v>
      </x:c>
      <x:c r="H47" s="64" t="n">
        <x:v>1</x:v>
      </x:c>
      <x:c r="I47" s="64" t="n">
        <x:v>-3</x:v>
      </x:c>
      <x:c r="J47" s="64" t="n">
        <x:v>-3</x:v>
      </x:c>
      <x:c r="K47" s="64" t="n">
        <x:v>23</x:v>
      </x:c>
      <x:c r="L47" s="56" t="str">
        <x:v>仅使用原表审核文案</x:v>
      </x:c>
    </x:row>
  </x:sheetData>
  <x:mergeCells>
    <x:mergeCell ref="A1:L1"/>
    <x:mergeCell ref="A2:L2"/>
    <x:mergeCell ref="A4:L4"/>
    <x:mergeCell ref="B5:L5"/>
    <x:mergeCell ref="B6:L6"/>
    <x:mergeCell ref="B7:L7"/>
    <x:mergeCell ref="A9:L9"/>
    <x:mergeCell ref="A22:L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3" hidden="0" customWidth="1"/>
    <x:col min="4" max="4" width="1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12" hidden="0" customWidth="1"/>
    <x:col min="10" max="10" width="13" hidden="0" customWidth="1"/>
    <x:col min="11" max="11" width="12" hidden="0" customWidth="1"/>
    <x:col min="12" max="12" width="13" hidden="0" customWidth="1"/>
    <x:col min="13" max="13" width="12" hidden="0" customWidth="1"/>
  </x:cols>
  <x:sheetData>
    <x:row r="1" ht="34" customHeight="1">
      <x:c r="A1" s="34" t="str">
        <x:v>推荐结果预览｜4 场景 × 3 精力 × 6 单一情景</x:v>
      </x:c>
      <x:c r="B1" s="34" t="str">
        <x:v>推荐结果预览｜4 场景 × 3 精力 × 6 单一情景</x:v>
      </x:c>
      <x:c r="C1" s="34" t="str">
        <x:v>推荐结果预览｜4 场景 × 3 精力 × 6 单一情景</x:v>
      </x:c>
      <x:c r="D1" s="34" t="str">
        <x:v>推荐结果预览｜4 场景 × 3 精力 × 6 单一情景</x:v>
      </x:c>
      <x:c r="E1" s="34" t="str">
        <x:v>推荐结果预览｜4 场景 × 3 精力 × 6 单一情景</x:v>
      </x:c>
      <x:c r="F1" s="34" t="str">
        <x:v>推荐结果预览｜4 场景 × 3 精力 × 6 单一情景</x:v>
      </x:c>
      <x:c r="G1" s="34" t="str">
        <x:v>推荐结果预览｜4 场景 × 3 精力 × 6 单一情景</x:v>
      </x:c>
      <x:c r="H1" s="34" t="str">
        <x:v>推荐结果预览｜4 场景 × 3 精力 × 6 单一情景</x:v>
      </x:c>
      <x:c r="I1" s="34" t="str">
        <x:v>推荐结果预览｜4 场景 × 3 精力 × 6 单一情景</x:v>
      </x:c>
      <x:c r="J1" s="34" t="str">
        <x:v>推荐结果预览｜4 场景 × 3 精力 × 6 单一情景</x:v>
      </x:c>
      <x:c r="K1" s="34" t="str">
        <x:v>推荐结果预览｜4 场景 × 3 精力 × 6 单一情景</x:v>
      </x:c>
      <x:c r="L1" s="34" t="str">
        <x:v>推荐结果预览｜4 场景 × 3 精力 × 6 单一情景</x:v>
      </x:c>
      <x:c r="M1" s="34" t="str">
        <x:v>推荐结果预览｜4 场景 × 3 精力 × 6 单一情景</x:v>
      </x:c>
    </x:row>
    <x:row r="2" ht="30" customHeight="1">
      <x:c r="A2" s="38" t="str">
        <x:v>共 72 组。每个 Top 单元格依次显示：运动名称、稳定 ID、总分 = 精力分 + 情景分。多情景时 App 将各情景分相加，本页用单一情景便于审计。</x:v>
      </x:c>
      <x:c r="B2" s="38" t="str">
        <x:v>共 72 组。每个 Top 单元格依次显示：运动名称、稳定 ID、总分 = 精力分 + 情景分。多情景时 App 将各情景分相加，本页用单一情景便于审计。</x:v>
      </x:c>
      <x:c r="C2" s="38" t="str">
        <x:v>共 72 组。每个 Top 单元格依次显示：运动名称、稳定 ID、总分 = 精力分 + 情景分。多情景时 App 将各情景分相加，本页用单一情景便于审计。</x:v>
      </x:c>
      <x:c r="D2" s="38" t="str">
        <x:v>共 72 组。每个 Top 单元格依次显示：运动名称、稳定 ID、总分 = 精力分 + 情景分。多情景时 App 将各情景分相加，本页用单一情景便于审计。</x:v>
      </x:c>
      <x:c r="E2" s="38" t="str">
        <x:v>共 72 组。每个 Top 单元格依次显示：运动名称、稳定 ID、总分 = 精力分 + 情景分。多情景时 App 将各情景分相加，本页用单一情景便于审计。</x:v>
      </x:c>
      <x:c r="F2" s="38" t="str">
        <x:v>共 72 组。每个 Top 单元格依次显示：运动名称、稳定 ID、总分 = 精力分 + 情景分。多情景时 App 将各情景分相加，本页用单一情景便于审计。</x:v>
      </x:c>
      <x:c r="G2" s="38" t="str">
        <x:v>共 72 组。每个 Top 单元格依次显示：运动名称、稳定 ID、总分 = 精力分 + 情景分。多情景时 App 将各情景分相加，本页用单一情景便于审计。</x:v>
      </x:c>
      <x:c r="H2" s="38" t="str">
        <x:v>共 72 组。每个 Top 单元格依次显示：运动名称、稳定 ID、总分 = 精力分 + 情景分。多情景时 App 将各情景分相加，本页用单一情景便于审计。</x:v>
      </x:c>
      <x:c r="I2" s="38" t="str">
        <x:v>共 72 组。每个 Top 单元格依次显示：运动名称、稳定 ID、总分 = 精力分 + 情景分。多情景时 App 将各情景分相加，本页用单一情景便于审计。</x:v>
      </x:c>
      <x:c r="J2" s="38" t="str">
        <x:v>共 72 组。每个 Top 单元格依次显示：运动名称、稳定 ID、总分 = 精力分 + 情景分。多情景时 App 将各情景分相加，本页用单一情景便于审计。</x:v>
      </x:c>
      <x:c r="K2" s="38" t="str">
        <x:v>共 72 组。每个 Top 单元格依次显示：运动名称、稳定 ID、总分 = 精力分 + 情景分。多情景时 App 将各情景分相加，本页用单一情景便于审计。</x:v>
      </x:c>
      <x:c r="L2" s="38" t="str">
        <x:v>共 72 组。每个 Top 单元格依次显示：运动名称、稳定 ID、总分 = 精力分 + 情景分。多情景时 App 将各情景分相加，本页用单一情景便于审计。</x:v>
      </x:c>
    </x:row>
    <x:row r="3" ht="30" customHeight="1">
      <x:c r="A3" s="62" t="str">
        <x:v>组合 ID</x:v>
      </x:c>
      <x:c r="B3" s="62" t="str">
        <x:v>场景</x:v>
      </x:c>
      <x:c r="C3" s="62" t="str">
        <x:v>精力状态</x:v>
      </x:c>
      <x:c r="D3" s="62" t="str">
        <x:v>情景状态</x:v>
      </x:c>
      <x:c r="E3" s="62" t="str">
        <x:v>Top 1</x:v>
      </x:c>
      <x:c r="F3" s="62" t="str">
        <x:v>Top 2</x:v>
      </x:c>
      <x:c r="G3" s="62" t="str">
        <x:v>Top 3</x:v>
      </x:c>
      <x:c r="H3" s="62" t="str">
        <x:v>Top 4</x:v>
      </x:c>
      <x:c r="I3" s="62" t="str">
        <x:v>推荐数量</x:v>
      </x:c>
      <x:c r="J3" s="62" t="str">
        <x:v>重复检查</x:v>
      </x:c>
      <x:c r="K3" s="62" t="str">
        <x:v>等长数量</x:v>
      </x:c>
      <x:c r="L3" s="62" t="str">
        <x:v>类型平衡</x:v>
      </x:c>
      <x:c r="M3" s="62" t="str">
        <x:v>行质检</x:v>
      </x:c>
    </x:row>
    <x:row r="4" ht="52" customHeight="1">
      <x:c r="A4" s="75" t="str">
        <x:v>R001</x:v>
      </x:c>
      <x:c r="B4" s="75" t="str">
        <x:v>私人室内</x:v>
      </x:c>
      <x:c r="C4" s="75" t="str">
        <x:v>精力低</x:v>
      </x:c>
      <x:c r="D4" s="75" t="str">
        <x:v>饭后</x:v>
      </x:c>
      <x:c r="E4" s="76" t="str">
        <x:v>坐姿交替抬膝
private-indoor-seated-alternating-knee-lift
总5=精4+情1</x:v>
      </x:c>
      <x:c r="F4" s="76" t="str">
        <x:v>原地踏步
private-indoor-march-in-place
总3=精2+情1</x:v>
      </x:c>
      <x:c r="G4" s="76" t="str">
        <x:v>坐姿伸膝
private-indoor-seated-knee-extension
总3=精4+情-1</x:v>
      </x:c>
      <x:c r="H4" s="76" t="str">
        <x:v>坐站练习
private-indoor-sit-to-stand
总1=精2+情-1</x:v>
      </x:c>
      <x:c r="I4" s="77" t="n">
        <x:f>IF(E4&lt;&gt;"",1,0)+IF(F4&lt;&gt;"",1,0)+IF(G4&lt;&gt;"",1,0)+IF(H4&lt;&gt;"",1,0)</x:f>
        <x:v>4</x:v>
      </x:c>
      <x:c r="J4" s="75" t="str">
        <x:f>IF(AND(E4&lt;&gt;F4,E4&lt;&gt;G4,E4&lt;&gt;H4,F4&lt;&gt;G4,F4&lt;&gt;H4,G4&lt;&gt;H4),"通过","有重复")</x:f>
        <x:v>通过</x:v>
      </x:c>
      <x:c r="K4" s="77" t="n">
        <x:v>0</x:v>
      </x:c>
      <x:c r="L4" s="75" t="str">
        <x:v>通过</x:v>
      </x:c>
      <x:c r="M4" s="75" t="str">
        <x:f>IF(AND(I4=4,J4="通过",K4&lt;=1,L4="通过"),"通过","需检查")</x:f>
        <x:v>通过</x:v>
      </x:c>
    </x:row>
    <x:row r="5" ht="52" customHeight="1">
      <x:c r="A5" s="72" t="str">
        <x:v>R002</x:v>
      </x:c>
      <x:c r="B5" s="72" t="str">
        <x:v>私人室内</x:v>
      </x:c>
      <x:c r="C5" s="72" t="str">
        <x:v>精力低</x:v>
      </x:c>
      <x:c r="D5" s="72" t="str">
        <x:v>久坐后</x:v>
      </x:c>
      <x:c r="E5" s="56" t="str">
        <x:v>坐姿交替抬膝
private-indoor-seated-alternating-knee-lift
总7=精4+情3</x:v>
      </x:c>
      <x:c r="F5" s="56" t="str">
        <x:v>坐姿伸膝
private-indoor-seated-knee-extension
总7=精4+情3</x:v>
      </x:c>
      <x:c r="G5" s="56" t="str">
        <x:v>原地踏步
private-indoor-march-in-place
总5=精2+情3</x:v>
      </x:c>
      <x:c r="H5" s="56" t="str">
        <x:v>坐站练习
private-indoor-sit-to-stand
总5=精2+情3</x:v>
      </x:c>
      <x:c r="I5" s="74" t="n">
        <x:f>IF(E5&lt;&gt;"",1,0)+IF(F5&lt;&gt;"",1,0)+IF(G5&lt;&gt;"",1,0)+IF(H5&lt;&gt;"",1,0)</x:f>
        <x:v>4</x:v>
      </x:c>
      <x:c r="J5" s="72" t="str">
        <x:f>IF(AND(E5&lt;&gt;F5,E5&lt;&gt;G5,E5&lt;&gt;H5,F5&lt;&gt;G5,F5&lt;&gt;H5,G5&lt;&gt;H5),"通过","有重复")</x:f>
        <x:v>通过</x:v>
      </x:c>
      <x:c r="K5" s="74" t="n">
        <x:v>0</x:v>
      </x:c>
      <x:c r="L5" s="72" t="str">
        <x:v>通过</x:v>
      </x:c>
      <x:c r="M5" s="72" t="str">
        <x:f>IF(AND(I5=4,J5="通过",K5&lt;=1,L5="通过"),"通过","需检查")</x:f>
        <x:v>通过</x:v>
      </x:c>
    </x:row>
    <x:row r="6" ht="52" customHeight="1">
      <x:c r="A6" s="72" t="str">
        <x:v>R003</x:v>
      </x:c>
      <x:c r="B6" s="72" t="str">
        <x:v>私人室内</x:v>
      </x:c>
      <x:c r="C6" s="72" t="str">
        <x:v>精力低</x:v>
      </x:c>
      <x:c r="D6" s="72" t="str">
        <x:v>压力后</x:v>
      </x:c>
      <x:c r="E6" s="56" t="str">
        <x:v>原地踏步
private-indoor-march-in-place
总5=精2+情3</x:v>
      </x:c>
      <x:c r="F6" s="56" t="str">
        <x:v>坐姿交替抬膝
private-indoor-seated-alternating-knee-lift
总5=精4+情1</x:v>
      </x:c>
      <x:c r="G6" s="56" t="str">
        <x:v>坐姿伸膝
private-indoor-seated-knee-extension
总5=精4+情1</x:v>
      </x:c>
      <x:c r="H6" s="56" t="str">
        <x:v>坐站练习
private-indoor-sit-to-stand
总1=精2+情-1</x:v>
      </x:c>
      <x:c r="I6" s="74" t="n">
        <x:f>IF(E6&lt;&gt;"",1,0)+IF(F6&lt;&gt;"",1,0)+IF(G6&lt;&gt;"",1,0)+IF(H6&lt;&gt;"",1,0)</x:f>
        <x:v>4</x:v>
      </x:c>
      <x:c r="J6" s="72" t="str">
        <x:f>IF(AND(E6&lt;&gt;F6,E6&lt;&gt;G6,E6&lt;&gt;H6,F6&lt;&gt;G6,F6&lt;&gt;H6,G6&lt;&gt;H6),"通过","有重复")</x:f>
        <x:v>通过</x:v>
      </x:c>
      <x:c r="K6" s="74" t="n">
        <x:v>0</x:v>
      </x:c>
      <x:c r="L6" s="72" t="str">
        <x:v>通过</x:v>
      </x:c>
      <x:c r="M6" s="72" t="str">
        <x:f>IF(AND(I6=4,J6="通过",K6&lt;=1,L6="通过"),"通过","需检查")</x:f>
        <x:v>通过</x:v>
      </x:c>
    </x:row>
    <x:row r="7" ht="52" customHeight="1">
      <x:c r="A7" s="72" t="str">
        <x:v>R004</x:v>
      </x:c>
      <x:c r="B7" s="72" t="str">
        <x:v>私人室内</x:v>
      </x:c>
      <x:c r="C7" s="72" t="str">
        <x:v>精力低</x:v>
      </x:c>
      <x:c r="D7" s="72" t="str">
        <x:v>睡眠不足</x:v>
      </x:c>
      <x:c r="E7" s="56" t="str">
        <x:v>坐姿交替抬膝
private-indoor-seated-alternating-knee-lift
总7=精4+情3</x:v>
      </x:c>
      <x:c r="F7" s="56" t="str">
        <x:v>坐姿伸膝
private-indoor-seated-knee-extension
总7=精4+情3</x:v>
      </x:c>
      <x:c r="G7" s="56" t="str">
        <x:v>原地踏步
private-indoor-march-in-place
总1=精2+情-1</x:v>
      </x:c>
      <x:c r="H7" s="56" t="str">
        <x:v>坐站练习
private-indoor-sit-to-stand
总1=精2+情-1</x:v>
      </x:c>
      <x:c r="I7" s="74" t="n">
        <x:f>IF(E7&lt;&gt;"",1,0)+IF(F7&lt;&gt;"",1,0)+IF(G7&lt;&gt;"",1,0)+IF(H7&lt;&gt;"",1,0)</x:f>
        <x:v>4</x:v>
      </x:c>
      <x:c r="J7" s="72" t="str">
        <x:f>IF(AND(E7&lt;&gt;F7,E7&lt;&gt;G7,E7&lt;&gt;H7,F7&lt;&gt;G7,F7&lt;&gt;H7,G7&lt;&gt;H7),"通过","有重复")</x:f>
        <x:v>通过</x:v>
      </x:c>
      <x:c r="K7" s="74" t="n">
        <x:v>0</x:v>
      </x:c>
      <x:c r="L7" s="72" t="str">
        <x:v>通过</x:v>
      </x:c>
      <x:c r="M7" s="72" t="str">
        <x:f>IF(AND(I7=4,J7="通过",K7&lt;=1,L7="通过"),"通过","需检查")</x:f>
        <x:v>通过</x:v>
      </x:c>
    </x:row>
    <x:row r="8" ht="52" customHeight="1">
      <x:c r="A8" s="72" t="str">
        <x:v>R005</x:v>
      </x:c>
      <x:c r="B8" s="72" t="str">
        <x:v>私人室内</x:v>
      </x:c>
      <x:c r="C8" s="72" t="str">
        <x:v>精力低</x:v>
      </x:c>
      <x:c r="D8" s="72" t="str">
        <x:v>刚活动后</x:v>
      </x:c>
      <x:c r="E8" s="56" t="str">
        <x:v>坐姿交替抬膝
private-indoor-seated-alternating-knee-lift
总5=精4+情1</x:v>
      </x:c>
      <x:c r="F8" s="56" t="str">
        <x:v>坐姿伸膝
private-indoor-seated-knee-extension
总5=精4+情1</x:v>
      </x:c>
      <x:c r="G8" s="56" t="str">
        <x:v>原地踏步
private-indoor-march-in-place
总1=精2+情-1</x:v>
      </x:c>
      <x:c r="H8" s="56" t="str">
        <x:v>坐站练习
private-indoor-sit-to-stand
总1=精2+情-1</x:v>
      </x:c>
      <x:c r="I8" s="74" t="n">
        <x:f>IF(E8&lt;&gt;"",1,0)+IF(F8&lt;&gt;"",1,0)+IF(G8&lt;&gt;"",1,0)+IF(H8&lt;&gt;"",1,0)</x:f>
        <x:v>4</x:v>
      </x:c>
      <x:c r="J8" s="72" t="str">
        <x:f>IF(AND(E8&lt;&gt;F8,E8&lt;&gt;G8,E8&lt;&gt;H8,F8&lt;&gt;G8,F8&lt;&gt;H8,G8&lt;&gt;H8),"通过","有重复")</x:f>
        <x:v>通过</x:v>
      </x:c>
      <x:c r="K8" s="74" t="n">
        <x:v>0</x:v>
      </x:c>
      <x:c r="L8" s="72" t="str">
        <x:v>通过</x:v>
      </x:c>
      <x:c r="M8" s="72" t="str">
        <x:f>IF(AND(I8=4,J8="通过",K8&lt;=1,L8="通过"),"通过","需检查")</x:f>
        <x:v>通过</x:v>
      </x:c>
    </x:row>
    <x:row r="9" ht="52" customHeight="1">
      <x:c r="A9" s="72" t="str">
        <x:v>R006</x:v>
      </x:c>
      <x:c r="B9" s="72" t="str">
        <x:v>私人室内</x:v>
      </x:c>
      <x:c r="C9" s="72" t="str">
        <x:v>精力低</x:v>
      </x:c>
      <x:c r="D9" s="72" t="str">
        <x:v>无特殊情况</x:v>
      </x:c>
      <x:c r="E9" s="56" t="str">
        <x:v>坐姿交替抬膝
private-indoor-seated-alternating-knee-lift
总4=精4+情0</x:v>
      </x:c>
      <x:c r="F9" s="56" t="str">
        <x:v>坐姿伸膝
private-indoor-seated-knee-extension
总4=精4+情0</x:v>
      </x:c>
      <x:c r="G9" s="56" t="str">
        <x:v>原地踏步
private-indoor-march-in-place
总2=精2+情0</x:v>
      </x:c>
      <x:c r="H9" s="56" t="str">
        <x:v>坐站练习
private-indoor-sit-to-stand
总2=精2+情0</x:v>
      </x:c>
      <x:c r="I9" s="74" t="n">
        <x:f>IF(E9&lt;&gt;"",1,0)+IF(F9&lt;&gt;"",1,0)+IF(G9&lt;&gt;"",1,0)+IF(H9&lt;&gt;"",1,0)</x:f>
        <x:v>4</x:v>
      </x:c>
      <x:c r="J9" s="72" t="str">
        <x:f>IF(AND(E9&lt;&gt;F9,E9&lt;&gt;G9,E9&lt;&gt;H9,F9&lt;&gt;G9,F9&lt;&gt;H9,G9&lt;&gt;H9),"通过","有重复")</x:f>
        <x:v>通过</x:v>
      </x:c>
      <x:c r="K9" s="74" t="n">
        <x:v>0</x:v>
      </x:c>
      <x:c r="L9" s="72" t="str">
        <x:v>通过</x:v>
      </x:c>
      <x:c r="M9" s="72" t="str">
        <x:f>IF(AND(I9=4,J9="通过",K9&lt;=1,L9="通过"),"通过","需检查")</x:f>
        <x:v>通过</x:v>
      </x:c>
    </x:row>
    <x:row r="10" ht="52" customHeight="1">
      <x:c r="A10" s="75" t="str">
        <x:v>R007</x:v>
      </x:c>
      <x:c r="B10" s="75" t="str">
        <x:v>私人室内</x:v>
      </x:c>
      <x:c r="C10" s="75" t="str">
        <x:v>精力一般</x:v>
      </x:c>
      <x:c r="D10" s="75" t="str">
        <x:v>饭后</x:v>
      </x:c>
      <x:c r="E10" s="76" t="str">
        <x:v>原地踏步
private-indoor-march-in-place
总5=精4+情1</x:v>
      </x:c>
      <x:c r="F10" s="76" t="str">
        <x:v>坐站练习
private-indoor-sit-to-stand
总3=精4+情-1</x:v>
      </x:c>
      <x:c r="G10" s="76" t="str">
        <x:v>靠墙俯卧撑
private-indoor-wall-push-up
总3=精4+情-1</x:v>
      </x:c>
      <x:c r="H10" s="76" t="str">
        <x:v>坐姿交替抬膝
private-indoor-seated-alternating-knee-lift
总3=精2+情1</x:v>
      </x:c>
      <x:c r="I10" s="77" t="n">
        <x:f>IF(E10&lt;&gt;"",1,0)+IF(F10&lt;&gt;"",1,0)+IF(G10&lt;&gt;"",1,0)+IF(H10&lt;&gt;"",1,0)</x:f>
        <x:v>4</x:v>
      </x:c>
      <x:c r="J10" s="75" t="str">
        <x:f>IF(AND(E10&lt;&gt;F10,E10&lt;&gt;G10,E10&lt;&gt;H10,F10&lt;&gt;G10,F10&lt;&gt;H10,G10&lt;&gt;H10),"通过","有重复")</x:f>
        <x:v>通过</x:v>
      </x:c>
      <x:c r="K10" s="77" t="n">
        <x:v>0</x:v>
      </x:c>
      <x:c r="L10" s="75" t="str">
        <x:v>通过</x:v>
      </x:c>
      <x:c r="M10" s="75" t="str">
        <x:f>IF(AND(I10=4,J10="通过",K10&lt;=1,L10="通过"),"通过","需检查")</x:f>
        <x:v>通过</x:v>
      </x:c>
    </x:row>
    <x:row r="11" ht="52" customHeight="1">
      <x:c r="A11" s="72" t="str">
        <x:v>R008</x:v>
      </x:c>
      <x:c r="B11" s="72" t="str">
        <x:v>私人室内</x:v>
      </x:c>
      <x:c r="C11" s="72" t="str">
        <x:v>精力一般</x:v>
      </x:c>
      <x:c r="D11" s="72" t="str">
        <x:v>久坐后</x:v>
      </x:c>
      <x:c r="E11" s="56" t="str">
        <x:v>原地踏步
private-indoor-march-in-place
总7=精4+情3</x:v>
      </x:c>
      <x:c r="F11" s="56" t="str">
        <x:v>坐站练习
private-indoor-sit-to-stand
总7=精4+情3</x:v>
      </x:c>
      <x:c r="G11" s="56" t="str">
        <x:v>靠墙俯卧撑
private-indoor-wall-push-up
总5=精4+情1</x:v>
      </x:c>
      <x:c r="H11" s="56" t="str">
        <x:v>坐姿交替抬膝
private-indoor-seated-alternating-knee-lift
总5=精2+情3</x:v>
      </x:c>
      <x:c r="I11" s="74" t="n">
        <x:f>IF(E11&lt;&gt;"",1,0)+IF(F11&lt;&gt;"",1,0)+IF(G11&lt;&gt;"",1,0)+IF(H11&lt;&gt;"",1,0)</x:f>
        <x:v>4</x:v>
      </x:c>
      <x:c r="J11" s="72" t="str">
        <x:f>IF(AND(E11&lt;&gt;F11,E11&lt;&gt;G11,E11&lt;&gt;H11,F11&lt;&gt;G11,F11&lt;&gt;H11,G11&lt;&gt;H11),"通过","有重复")</x:f>
        <x:v>通过</x:v>
      </x:c>
      <x:c r="K11" s="74" t="n">
        <x:v>0</x:v>
      </x:c>
      <x:c r="L11" s="72" t="str">
        <x:v>通过</x:v>
      </x:c>
      <x:c r="M11" s="72" t="str">
        <x:f>IF(AND(I11=4,J11="通过",K11&lt;=1,L11="通过"),"通过","需检查")</x:f>
        <x:v>通过</x:v>
      </x:c>
    </x:row>
    <x:row r="12" ht="52" customHeight="1">
      <x:c r="A12" s="72" t="str">
        <x:v>R009</x:v>
      </x:c>
      <x:c r="B12" s="72" t="str">
        <x:v>私人室内</x:v>
      </x:c>
      <x:c r="C12" s="72" t="str">
        <x:v>精力一般</x:v>
      </x:c>
      <x:c r="D12" s="72" t="str">
        <x:v>压力后</x:v>
      </x:c>
      <x:c r="E12" s="56" t="str">
        <x:v>原地踏步
private-indoor-march-in-place
总7=精4+情3</x:v>
      </x:c>
      <x:c r="F12" s="56" t="str">
        <x:v>坐站练习
private-indoor-sit-to-stand
总3=精4+情-1</x:v>
      </x:c>
      <x:c r="G12" s="56" t="str">
        <x:v>靠墙俯卧撑
private-indoor-wall-push-up
总3=精4+情-1</x:v>
      </x:c>
      <x:c r="H12" s="56" t="str">
        <x:v>坐姿交替抬膝
private-indoor-seated-alternating-knee-lift
总3=精2+情1</x:v>
      </x:c>
      <x:c r="I12" s="74" t="n">
        <x:f>IF(E12&lt;&gt;"",1,0)+IF(F12&lt;&gt;"",1,0)+IF(G12&lt;&gt;"",1,0)+IF(H12&lt;&gt;"",1,0)</x:f>
        <x:v>4</x:v>
      </x:c>
      <x:c r="J12" s="72" t="str">
        <x:f>IF(AND(E12&lt;&gt;F12,E12&lt;&gt;G12,E12&lt;&gt;H12,F12&lt;&gt;G12,F12&lt;&gt;H12,G12&lt;&gt;H12),"通过","有重复")</x:f>
        <x:v>通过</x:v>
      </x:c>
      <x:c r="K12" s="74" t="n">
        <x:v>0</x:v>
      </x:c>
      <x:c r="L12" s="72" t="str">
        <x:v>通过</x:v>
      </x:c>
      <x:c r="M12" s="72" t="str">
        <x:f>IF(AND(I12=4,J12="通过",K12&lt;=1,L12="通过"),"通过","需检查")</x:f>
        <x:v>通过</x:v>
      </x:c>
    </x:row>
    <x:row r="13" ht="52" customHeight="1">
      <x:c r="A13" s="72" t="str">
        <x:v>R010</x:v>
      </x:c>
      <x:c r="B13" s="72" t="str">
        <x:v>私人室内</x:v>
      </x:c>
      <x:c r="C13" s="72" t="str">
        <x:v>精力一般</x:v>
      </x:c>
      <x:c r="D13" s="72" t="str">
        <x:v>睡眠不足</x:v>
      </x:c>
      <x:c r="E13" s="56" t="str">
        <x:v>坐姿交替抬膝
private-indoor-seated-alternating-knee-lift
总5=精2+情3</x:v>
      </x:c>
      <x:c r="F13" s="56" t="str">
        <x:v>坐姿伸膝
private-indoor-seated-knee-extension
总5=精2+情3</x:v>
      </x:c>
      <x:c r="G13" s="56" t="str">
        <x:v>原地踏步
private-indoor-march-in-place
总3=精4+情-1</x:v>
      </x:c>
      <x:c r="H13" s="56" t="str">
        <x:v>坐站练习
private-indoor-sit-to-stand
总3=精4+情-1</x:v>
      </x:c>
      <x:c r="I13" s="74" t="n">
        <x:f>IF(E13&lt;&gt;"",1,0)+IF(F13&lt;&gt;"",1,0)+IF(G13&lt;&gt;"",1,0)+IF(H13&lt;&gt;"",1,0)</x:f>
        <x:v>4</x:v>
      </x:c>
      <x:c r="J13" s="72" t="str">
        <x:f>IF(AND(E13&lt;&gt;F13,E13&lt;&gt;G13,E13&lt;&gt;H13,F13&lt;&gt;G13,F13&lt;&gt;H13,G13&lt;&gt;H13),"通过","有重复")</x:f>
        <x:v>通过</x:v>
      </x:c>
      <x:c r="K13" s="74" t="n">
        <x:v>0</x:v>
      </x:c>
      <x:c r="L13" s="72" t="str">
        <x:v>通过</x:v>
      </x:c>
      <x:c r="M13" s="72" t="str">
        <x:f>IF(AND(I13=4,J13="通过",K13&lt;=1,L13="通过"),"通过","需检查")</x:f>
        <x:v>通过</x:v>
      </x:c>
    </x:row>
    <x:row r="14" ht="52" customHeight="1">
      <x:c r="A14" s="72" t="str">
        <x:v>R011</x:v>
      </x:c>
      <x:c r="B14" s="72" t="str">
        <x:v>私人室内</x:v>
      </x:c>
      <x:c r="C14" s="72" t="str">
        <x:v>精力一般</x:v>
      </x:c>
      <x:c r="D14" s="72" t="str">
        <x:v>刚活动后</x:v>
      </x:c>
      <x:c r="E14" s="56" t="str">
        <x:v>原地踏步
private-indoor-march-in-place
总3=精4+情-1</x:v>
      </x:c>
      <x:c r="F14" s="56" t="str">
        <x:v>坐站练习
private-indoor-sit-to-stand
总3=精4+情-1</x:v>
      </x:c>
      <x:c r="G14" s="56" t="str">
        <x:v>靠墙俯卧撑
private-indoor-wall-push-up
总3=精4+情-1</x:v>
      </x:c>
      <x:c r="H14" s="56" t="str">
        <x:v>坐姿交替抬膝
private-indoor-seated-alternating-knee-lift
总3=精2+情1</x:v>
      </x:c>
      <x:c r="I14" s="74" t="n">
        <x:f>IF(E14&lt;&gt;"",1,0)+IF(F14&lt;&gt;"",1,0)+IF(G14&lt;&gt;"",1,0)+IF(H14&lt;&gt;"",1,0)</x:f>
        <x:v>4</x:v>
      </x:c>
      <x:c r="J14" s="72" t="str">
        <x:f>IF(AND(E14&lt;&gt;F14,E14&lt;&gt;G14,E14&lt;&gt;H14,F14&lt;&gt;G14,F14&lt;&gt;H14,G14&lt;&gt;H14),"通过","有重复")</x:f>
        <x:v>通过</x:v>
      </x:c>
      <x:c r="K14" s="74" t="n">
        <x:v>0</x:v>
      </x:c>
      <x:c r="L14" s="72" t="str">
        <x:v>通过</x:v>
      </x:c>
      <x:c r="M14" s="72" t="str">
        <x:f>IF(AND(I14=4,J14="通过",K14&lt;=1,L14="通过"),"通过","需检查")</x:f>
        <x:v>通过</x:v>
      </x:c>
    </x:row>
    <x:row r="15" ht="52" customHeight="1">
      <x:c r="A15" s="72" t="str">
        <x:v>R012</x:v>
      </x:c>
      <x:c r="B15" s="72" t="str">
        <x:v>私人室内</x:v>
      </x:c>
      <x:c r="C15" s="72" t="str">
        <x:v>精力一般</x:v>
      </x:c>
      <x:c r="D15" s="72" t="str">
        <x:v>无特殊情况</x:v>
      </x:c>
      <x:c r="E15" s="56" t="str">
        <x:v>原地踏步
private-indoor-march-in-place
总4=精4+情0</x:v>
      </x:c>
      <x:c r="F15" s="56" t="str">
        <x:v>坐站练习
private-indoor-sit-to-stand
总4=精4+情0</x:v>
      </x:c>
      <x:c r="G15" s="56" t="str">
        <x:v>靠墙俯卧撑
private-indoor-wall-push-up
总4=精4+情0</x:v>
      </x:c>
      <x:c r="H15" s="56" t="str">
        <x:v>靠墙静蹲
private-indoor-wall-sit
总2=精2+情0</x:v>
      </x:c>
      <x:c r="I15" s="74" t="n">
        <x:f>IF(E15&lt;&gt;"",1,0)+IF(F15&lt;&gt;"",1,0)+IF(G15&lt;&gt;"",1,0)+IF(H15&lt;&gt;"",1,0)</x:f>
        <x:v>4</x:v>
      </x:c>
      <x:c r="J15" s="72" t="str">
        <x:f>IF(AND(E15&lt;&gt;F15,E15&lt;&gt;G15,E15&lt;&gt;H15,F15&lt;&gt;G15,F15&lt;&gt;H15,G15&lt;&gt;H15),"通过","有重复")</x:f>
        <x:v>通过</x:v>
      </x:c>
      <x:c r="K15" s="74" t="n">
        <x:v>1</x:v>
      </x:c>
      <x:c r="L15" s="72" t="str">
        <x:v>通过</x:v>
      </x:c>
      <x:c r="M15" s="72" t="str">
        <x:f>IF(AND(I15=4,J15="通过",K15&lt;=1,L15="通过"),"通过","需检查")</x:f>
        <x:v>通过</x:v>
      </x:c>
    </x:row>
    <x:row r="16" ht="52" customHeight="1">
      <x:c r="A16" s="75" t="str">
        <x:v>R013</x:v>
      </x:c>
      <x:c r="B16" s="75" t="str">
        <x:v>私人室内</x:v>
      </x:c>
      <x:c r="C16" s="75" t="str">
        <x:v>精力较好</x:v>
      </x:c>
      <x:c r="D16" s="75" t="str">
        <x:v>饭后</x:v>
      </x:c>
      <x:c r="E16" s="76" t="str">
        <x:v>原地踏步
private-indoor-march-in-place
总3=精2+情1</x:v>
      </x:c>
      <x:c r="F16" s="76" t="str">
        <x:v>坐站练习
private-indoor-sit-to-stand
总1=精2+情-1</x:v>
      </x:c>
      <x:c r="G16" s="76" t="str">
        <x:v>靠墙俯卧撑
private-indoor-wall-push-up
总1=精2+情-1</x:v>
      </x:c>
      <x:c r="H16" s="76" t="str">
        <x:v>靠墙静蹲
private-indoor-wall-sit
总1=精4+情-3</x:v>
      </x:c>
      <x:c r="I16" s="77" t="n">
        <x:f>IF(E16&lt;&gt;"",1,0)+IF(F16&lt;&gt;"",1,0)+IF(G16&lt;&gt;"",1,0)+IF(H16&lt;&gt;"",1,0)</x:f>
        <x:v>4</x:v>
      </x:c>
      <x:c r="J16" s="75" t="str">
        <x:f>IF(AND(E16&lt;&gt;F16,E16&lt;&gt;G16,E16&lt;&gt;H16,F16&lt;&gt;G16,F16&lt;&gt;H16,G16&lt;&gt;H16),"通过","有重复")</x:f>
        <x:v>通过</x:v>
      </x:c>
      <x:c r="K16" s="77" t="n">
        <x:v>1</x:v>
      </x:c>
      <x:c r="L16" s="75" t="str">
        <x:v>通过</x:v>
      </x:c>
      <x:c r="M16" s="75" t="str">
        <x:f>IF(AND(I16=4,J16="通过",K16&lt;=1,L16="通过"),"通过","需检查")</x:f>
        <x:v>通过</x:v>
      </x:c>
    </x:row>
    <x:row r="17" ht="52" customHeight="1">
      <x:c r="A17" s="72" t="str">
        <x:v>R014</x:v>
      </x:c>
      <x:c r="B17" s="72" t="str">
        <x:v>私人室内</x:v>
      </x:c>
      <x:c r="C17" s="72" t="str">
        <x:v>精力较好</x:v>
      </x:c>
      <x:c r="D17" s="72" t="str">
        <x:v>久坐后</x:v>
      </x:c>
      <x:c r="E17" s="56" t="str">
        <x:v>原地踏步
private-indoor-march-in-place
总5=精2+情3</x:v>
      </x:c>
      <x:c r="F17" s="56" t="str">
        <x:v>坐站练习
private-indoor-sit-to-stand
总5=精2+情3</x:v>
      </x:c>
      <x:c r="G17" s="56" t="str">
        <x:v>靠墙俯卧撑
private-indoor-wall-push-up
总3=精2+情1</x:v>
      </x:c>
      <x:c r="H17" s="56" t="str">
        <x:v>靠墙静蹲
private-indoor-wall-sit
总3=精4+情-1</x:v>
      </x:c>
      <x:c r="I17" s="74" t="n">
        <x:f>IF(E17&lt;&gt;"",1,0)+IF(F17&lt;&gt;"",1,0)+IF(G17&lt;&gt;"",1,0)+IF(H17&lt;&gt;"",1,0)</x:f>
        <x:v>4</x:v>
      </x:c>
      <x:c r="J17" s="72" t="str">
        <x:f>IF(AND(E17&lt;&gt;F17,E17&lt;&gt;G17,E17&lt;&gt;H17,F17&lt;&gt;G17,F17&lt;&gt;H17,G17&lt;&gt;H17),"通过","有重复")</x:f>
        <x:v>通过</x:v>
      </x:c>
      <x:c r="K17" s="74" t="n">
        <x:v>1</x:v>
      </x:c>
      <x:c r="L17" s="72" t="str">
        <x:v>通过</x:v>
      </x:c>
      <x:c r="M17" s="72" t="str">
        <x:f>IF(AND(I17=4,J17="通过",K17&lt;=1,L17="通过"),"通过","需检查")</x:f>
        <x:v>通过</x:v>
      </x:c>
    </x:row>
    <x:row r="18" ht="52" customHeight="1">
      <x:c r="A18" s="72" t="str">
        <x:v>R015</x:v>
      </x:c>
      <x:c r="B18" s="72" t="str">
        <x:v>私人室内</x:v>
      </x:c>
      <x:c r="C18" s="72" t="str">
        <x:v>精力较好</x:v>
      </x:c>
      <x:c r="D18" s="72" t="str">
        <x:v>压力后</x:v>
      </x:c>
      <x:c r="E18" s="56" t="str">
        <x:v>原地踏步
private-indoor-march-in-place
总5=精2+情3</x:v>
      </x:c>
      <x:c r="F18" s="56" t="str">
        <x:v>坐站练习
private-indoor-sit-to-stand
总1=精2+情-1</x:v>
      </x:c>
      <x:c r="G18" s="56" t="str">
        <x:v>靠墙俯卧撑
private-indoor-wall-push-up
总1=精2+情-1</x:v>
      </x:c>
      <x:c r="H18" s="56" t="str">
        <x:v>靠墙静蹲
private-indoor-wall-sit
总1=精4+情-3</x:v>
      </x:c>
      <x:c r="I18" s="74" t="n">
        <x:f>IF(E18&lt;&gt;"",1,0)+IF(F18&lt;&gt;"",1,0)+IF(G18&lt;&gt;"",1,0)+IF(H18&lt;&gt;"",1,0)</x:f>
        <x:v>4</x:v>
      </x:c>
      <x:c r="J18" s="72" t="str">
        <x:f>IF(AND(E18&lt;&gt;F18,E18&lt;&gt;G18,E18&lt;&gt;H18,F18&lt;&gt;G18,F18&lt;&gt;H18,G18&lt;&gt;H18),"通过","有重复")</x:f>
        <x:v>通过</x:v>
      </x:c>
      <x:c r="K18" s="74" t="n">
        <x:v>1</x:v>
      </x:c>
      <x:c r="L18" s="72" t="str">
        <x:v>通过</x:v>
      </x:c>
      <x:c r="M18" s="72" t="str">
        <x:f>IF(AND(I18=4,J18="通过",K18&lt;=1,L18="通过"),"通过","需检查")</x:f>
        <x:v>通过</x:v>
      </x:c>
    </x:row>
    <x:row r="19" ht="52" customHeight="1">
      <x:c r="A19" s="72" t="str">
        <x:v>R016</x:v>
      </x:c>
      <x:c r="B19" s="72" t="str">
        <x:v>私人室内</x:v>
      </x:c>
      <x:c r="C19" s="72" t="str">
        <x:v>精力较好</x:v>
      </x:c>
      <x:c r="D19" s="72" t="str">
        <x:v>睡眠不足</x:v>
      </x:c>
      <x:c r="E19" s="56" t="str">
        <x:v>坐姿交替抬膝
private-indoor-seated-alternating-knee-lift
总3=精0+情3</x:v>
      </x:c>
      <x:c r="F19" s="56" t="str">
        <x:v>坐姿伸膝
private-indoor-seated-knee-extension
总3=精0+情3</x:v>
      </x:c>
      <x:c r="G19" s="56" t="str">
        <x:v>原地踏步
private-indoor-march-in-place
总1=精2+情-1</x:v>
      </x:c>
      <x:c r="H19" s="56" t="str">
        <x:v>坐站练习
private-indoor-sit-to-stand
总1=精2+情-1</x:v>
      </x:c>
      <x:c r="I19" s="74" t="n">
        <x:f>IF(E19&lt;&gt;"",1,0)+IF(F19&lt;&gt;"",1,0)+IF(G19&lt;&gt;"",1,0)+IF(H19&lt;&gt;"",1,0)</x:f>
        <x:v>4</x:v>
      </x:c>
      <x:c r="J19" s="72" t="str">
        <x:f>IF(AND(E19&lt;&gt;F19,E19&lt;&gt;G19,E19&lt;&gt;H19,F19&lt;&gt;G19,F19&lt;&gt;H19,G19&lt;&gt;H19),"通过","有重复")</x:f>
        <x:v>通过</x:v>
      </x:c>
      <x:c r="K19" s="74" t="n">
        <x:v>0</x:v>
      </x:c>
      <x:c r="L19" s="72" t="str">
        <x:v>通过</x:v>
      </x:c>
      <x:c r="M19" s="72" t="str">
        <x:f>IF(AND(I19=4,J19="通过",K19&lt;=1,L19="通过"),"通过","需检查")</x:f>
        <x:v>通过</x:v>
      </x:c>
    </x:row>
    <x:row r="20" ht="52" customHeight="1">
      <x:c r="A20" s="72" t="str">
        <x:v>R017</x:v>
      </x:c>
      <x:c r="B20" s="72" t="str">
        <x:v>私人室内</x:v>
      </x:c>
      <x:c r="C20" s="72" t="str">
        <x:v>精力较好</x:v>
      </x:c>
      <x:c r="D20" s="72" t="str">
        <x:v>刚活动后</x:v>
      </x:c>
      <x:c r="E20" s="56" t="str">
        <x:v>原地踏步
private-indoor-march-in-place
总1=精2+情-1</x:v>
      </x:c>
      <x:c r="F20" s="56" t="str">
        <x:v>坐站练习
private-indoor-sit-to-stand
总1=精2+情-1</x:v>
      </x:c>
      <x:c r="G20" s="56" t="str">
        <x:v>靠墙俯卧撑
private-indoor-wall-push-up
总1=精2+情-1</x:v>
      </x:c>
      <x:c r="H20" s="56" t="str">
        <x:v>靠墙静蹲
private-indoor-wall-sit
总1=精4+情-3</x:v>
      </x:c>
      <x:c r="I20" s="74" t="n">
        <x:f>IF(E20&lt;&gt;"",1,0)+IF(F20&lt;&gt;"",1,0)+IF(G20&lt;&gt;"",1,0)+IF(H20&lt;&gt;"",1,0)</x:f>
        <x:v>4</x:v>
      </x:c>
      <x:c r="J20" s="72" t="str">
        <x:f>IF(AND(E20&lt;&gt;F20,E20&lt;&gt;G20,E20&lt;&gt;H20,F20&lt;&gt;G20,F20&lt;&gt;H20,G20&lt;&gt;H20),"通过","有重复")</x:f>
        <x:v>通过</x:v>
      </x:c>
      <x:c r="K20" s="74" t="n">
        <x:v>1</x:v>
      </x:c>
      <x:c r="L20" s="72" t="str">
        <x:v>通过</x:v>
      </x:c>
      <x:c r="M20" s="72" t="str">
        <x:f>IF(AND(I20=4,J20="通过",K20&lt;=1,L20="通过"),"通过","需检查")</x:f>
        <x:v>通过</x:v>
      </x:c>
    </x:row>
    <x:row r="21" ht="52" customHeight="1">
      <x:c r="A21" s="72" t="str">
        <x:v>R018</x:v>
      </x:c>
      <x:c r="B21" s="72" t="str">
        <x:v>私人室内</x:v>
      </x:c>
      <x:c r="C21" s="72" t="str">
        <x:v>精力较好</x:v>
      </x:c>
      <x:c r="D21" s="72" t="str">
        <x:v>无特殊情况</x:v>
      </x:c>
      <x:c r="E21" s="56" t="str">
        <x:v>靠墙静蹲
private-indoor-wall-sit
总4=精4+情0</x:v>
      </x:c>
      <x:c r="F21" s="56" t="str">
        <x:v>原地踏步
private-indoor-march-in-place
总2=精2+情0</x:v>
      </x:c>
      <x:c r="G21" s="56" t="str">
        <x:v>坐站练习
private-indoor-sit-to-stand
总2=精2+情0</x:v>
      </x:c>
      <x:c r="H21" s="56" t="str">
        <x:v>靠墙俯卧撑
private-indoor-wall-push-up
总2=精2+情0</x:v>
      </x:c>
      <x:c r="I21" s="74" t="n">
        <x:f>IF(E21&lt;&gt;"",1,0)+IF(F21&lt;&gt;"",1,0)+IF(G21&lt;&gt;"",1,0)+IF(H21&lt;&gt;"",1,0)</x:f>
        <x:v>4</x:v>
      </x:c>
      <x:c r="J21" s="72" t="str">
        <x:f>IF(AND(E21&lt;&gt;F21,E21&lt;&gt;G21,E21&lt;&gt;H21,F21&lt;&gt;G21,F21&lt;&gt;H21,G21&lt;&gt;H21),"通过","有重复")</x:f>
        <x:v>通过</x:v>
      </x:c>
      <x:c r="K21" s="74" t="n">
        <x:v>1</x:v>
      </x:c>
      <x:c r="L21" s="72" t="str">
        <x:v>通过</x:v>
      </x:c>
      <x:c r="M21" s="72" t="str">
        <x:f>IF(AND(I21=4,J21="通过",K21&lt;=1,L21="通过"),"通过","需检查")</x:f>
        <x:v>通过</x:v>
      </x:c>
    </x:row>
    <x:row r="22" ht="52" customHeight="1">
      <x:c r="A22" s="75" t="str">
        <x:v>R019</x:v>
      </x:c>
      <x:c r="B22" s="75" t="str">
        <x:v>公共室内</x:v>
      </x:c>
      <x:c r="C22" s="75" t="str">
        <x:v>精力低</x:v>
      </x:c>
      <x:c r="D22" s="75" t="str">
        <x:v>饭后</x:v>
      </x:c>
      <x:c r="E22" s="76" t="str">
        <x:v>慢走
public-indoor-slow-walk
总7=精4+情3</x:v>
      </x:c>
      <x:c r="F22" s="76" t="str">
        <x:v>原地踏步
public-indoor-march-in-place
总3=精2+情1</x:v>
      </x:c>
      <x:c r="G22" s="76" t="str">
        <x:v>侧向踏步
public-indoor-side-step
总3=精2+情1</x:v>
      </x:c>
      <x:c r="H22" s="76" t="str">
        <x:v>提踵
public-indoor-calf-raise
总3=精4+情-1</x:v>
      </x:c>
      <x:c r="I22" s="77" t="n">
        <x:f>IF(E22&lt;&gt;"",1,0)+IF(F22&lt;&gt;"",1,0)+IF(G22&lt;&gt;"",1,0)+IF(H22&lt;&gt;"",1,0)</x:f>
        <x:v>4</x:v>
      </x:c>
      <x:c r="J22" s="75" t="str">
        <x:f>IF(AND(E22&lt;&gt;F22,E22&lt;&gt;G22,E22&lt;&gt;H22,F22&lt;&gt;G22,F22&lt;&gt;H22,G22&lt;&gt;H22),"通过","有重复")</x:f>
        <x:v>通过</x:v>
      </x:c>
      <x:c r="K22" s="77" t="n">
        <x:v>0</x:v>
      </x:c>
      <x:c r="L22" s="75" t="str">
        <x:v>通过</x:v>
      </x:c>
      <x:c r="M22" s="75" t="str">
        <x:f>IF(AND(I22=4,J22="通过",K22&lt;=1,L22="通过"),"通过","需检查")</x:f>
        <x:v>通过</x:v>
      </x:c>
    </x:row>
    <x:row r="23" ht="52" customHeight="1">
      <x:c r="A23" s="72" t="str">
        <x:v>R020</x:v>
      </x:c>
      <x:c r="B23" s="72" t="str">
        <x:v>公共室内</x:v>
      </x:c>
      <x:c r="C23" s="72" t="str">
        <x:v>精力低</x:v>
      </x:c>
      <x:c r="D23" s="72" t="str">
        <x:v>久坐后</x:v>
      </x:c>
      <x:c r="E23" s="56" t="str">
        <x:v>慢走
public-indoor-slow-walk
总7=精4+情3</x:v>
      </x:c>
      <x:c r="F23" s="56" t="str">
        <x:v>提踵
public-indoor-calf-raise
总7=精4+情3</x:v>
      </x:c>
      <x:c r="G23" s="56" t="str">
        <x:v>扶墙侧抬腿
public-indoor-supported-side-leg-raise
总7=精4+情3</x:v>
      </x:c>
      <x:c r="H23" s="56" t="str">
        <x:v>原地踏步
public-indoor-march-in-place
总5=精2+情3</x:v>
      </x:c>
      <x:c r="I23" s="74" t="n">
        <x:f>IF(E23&lt;&gt;"",1,0)+IF(F23&lt;&gt;"",1,0)+IF(G23&lt;&gt;"",1,0)+IF(H23&lt;&gt;"",1,0)</x:f>
        <x:v>4</x:v>
      </x:c>
      <x:c r="J23" s="72" t="str">
        <x:f>IF(AND(E23&lt;&gt;F23,E23&lt;&gt;G23,E23&lt;&gt;H23,F23&lt;&gt;G23,F23&lt;&gt;H23,G23&lt;&gt;H23),"通过","有重复")</x:f>
        <x:v>通过</x:v>
      </x:c>
      <x:c r="K23" s="74" t="n">
        <x:v>0</x:v>
      </x:c>
      <x:c r="L23" s="72" t="str">
        <x:v>通过</x:v>
      </x:c>
      <x:c r="M23" s="72" t="str">
        <x:f>IF(AND(I23=4,J23="通过",K23&lt;=1,L23="通过"),"通过","需检查")</x:f>
        <x:v>通过</x:v>
      </x:c>
    </x:row>
    <x:row r="24" ht="52" customHeight="1">
      <x:c r="A24" s="72" t="str">
        <x:v>R021</x:v>
      </x:c>
      <x:c r="B24" s="72" t="str">
        <x:v>公共室内</x:v>
      </x:c>
      <x:c r="C24" s="72" t="str">
        <x:v>精力低</x:v>
      </x:c>
      <x:c r="D24" s="72" t="str">
        <x:v>压力后</x:v>
      </x:c>
      <x:c r="E24" s="56" t="str">
        <x:v>慢走
public-indoor-slow-walk
总7=精4+情3</x:v>
      </x:c>
      <x:c r="F24" s="56" t="str">
        <x:v>原地踏步
public-indoor-march-in-place
总5=精2+情3</x:v>
      </x:c>
      <x:c r="G24" s="56" t="str">
        <x:v>侧向踏步
public-indoor-side-step
总5=精2+情3</x:v>
      </x:c>
      <x:c r="H24" s="56" t="str">
        <x:v>提踵
public-indoor-calf-raise
总5=精4+情1</x:v>
      </x:c>
      <x:c r="I24" s="74" t="n">
        <x:f>IF(E24&lt;&gt;"",1,0)+IF(F24&lt;&gt;"",1,0)+IF(G24&lt;&gt;"",1,0)+IF(H24&lt;&gt;"",1,0)</x:f>
        <x:v>4</x:v>
      </x:c>
      <x:c r="J24" s="72" t="str">
        <x:f>IF(AND(E24&lt;&gt;F24,E24&lt;&gt;G24,E24&lt;&gt;H24,F24&lt;&gt;G24,F24&lt;&gt;H24,G24&lt;&gt;H24),"通过","有重复")</x:f>
        <x:v>通过</x:v>
      </x:c>
      <x:c r="K24" s="74" t="n">
        <x:v>0</x:v>
      </x:c>
      <x:c r="L24" s="72" t="str">
        <x:v>通过</x:v>
      </x:c>
      <x:c r="M24" s="72" t="str">
        <x:f>IF(AND(I24=4,J24="通过",K24&lt;=1,L24="通过"),"通过","需检查")</x:f>
        <x:v>通过</x:v>
      </x:c>
    </x:row>
    <x:row r="25" ht="52" customHeight="1">
      <x:c r="A25" s="72" t="str">
        <x:v>R022</x:v>
      </x:c>
      <x:c r="B25" s="72" t="str">
        <x:v>公共室内</x:v>
      </x:c>
      <x:c r="C25" s="72" t="str">
        <x:v>精力低</x:v>
      </x:c>
      <x:c r="D25" s="72" t="str">
        <x:v>睡眠不足</x:v>
      </x:c>
      <x:c r="E25" s="56" t="str">
        <x:v>慢走
public-indoor-slow-walk
总7=精4+情3</x:v>
      </x:c>
      <x:c r="F25" s="56" t="str">
        <x:v>提踵
public-indoor-calf-raise
总7=精4+情3</x:v>
      </x:c>
      <x:c r="G25" s="56" t="str">
        <x:v>扶墙侧抬腿
public-indoor-supported-side-leg-raise
总7=精4+情3</x:v>
      </x:c>
      <x:c r="H25" s="56" t="str">
        <x:v>前后点步
public-indoor-forward-back-tap
总3=精2+情1</x:v>
      </x:c>
      <x:c r="I25" s="74" t="n">
        <x:f>IF(E25&lt;&gt;"",1,0)+IF(F25&lt;&gt;"",1,0)+IF(G25&lt;&gt;"",1,0)+IF(H25&lt;&gt;"",1,0)</x:f>
        <x:v>4</x:v>
      </x:c>
      <x:c r="J25" s="72" t="str">
        <x:f>IF(AND(E25&lt;&gt;F25,E25&lt;&gt;G25,E25&lt;&gt;H25,F25&lt;&gt;G25,F25&lt;&gt;H25,G25&lt;&gt;H25),"通过","有重复")</x:f>
        <x:v>通过</x:v>
      </x:c>
      <x:c r="K25" s="74" t="n">
        <x:v>0</x:v>
      </x:c>
      <x:c r="L25" s="72" t="str">
        <x:v>通过</x:v>
      </x:c>
      <x:c r="M25" s="72" t="str">
        <x:f>IF(AND(I25=4,J25="通过",K25&lt;=1,L25="通过"),"通过","需检查")</x:f>
        <x:v>通过</x:v>
      </x:c>
    </x:row>
    <x:row r="26" ht="52" customHeight="1">
      <x:c r="A26" s="72" t="str">
        <x:v>R023</x:v>
      </x:c>
      <x:c r="B26" s="72" t="str">
        <x:v>公共室内</x:v>
      </x:c>
      <x:c r="C26" s="72" t="str">
        <x:v>精力低</x:v>
      </x:c>
      <x:c r="D26" s="72" t="str">
        <x:v>刚活动后</x:v>
      </x:c>
      <x:c r="E26" s="56" t="str">
        <x:v>慢走
public-indoor-slow-walk
总7=精4+情3</x:v>
      </x:c>
      <x:c r="F26" s="56" t="str">
        <x:v>提踵
public-indoor-calf-raise
总5=精4+情1</x:v>
      </x:c>
      <x:c r="G26" s="56" t="str">
        <x:v>扶墙侧抬腿
public-indoor-supported-side-leg-raise
总5=精4+情1</x:v>
      </x:c>
      <x:c r="H26" s="56" t="str">
        <x:v>前后点步
public-indoor-forward-back-tap
总3=精2+情1</x:v>
      </x:c>
      <x:c r="I26" s="74" t="n">
        <x:f>IF(E26&lt;&gt;"",1,0)+IF(F26&lt;&gt;"",1,0)+IF(G26&lt;&gt;"",1,0)+IF(H26&lt;&gt;"",1,0)</x:f>
        <x:v>4</x:v>
      </x:c>
      <x:c r="J26" s="72" t="str">
        <x:f>IF(AND(E26&lt;&gt;F26,E26&lt;&gt;G26,E26&lt;&gt;H26,F26&lt;&gt;G26,F26&lt;&gt;H26,G26&lt;&gt;H26),"通过","有重复")</x:f>
        <x:v>通过</x:v>
      </x:c>
      <x:c r="K26" s="74" t="n">
        <x:v>0</x:v>
      </x:c>
      <x:c r="L26" s="72" t="str">
        <x:v>通过</x:v>
      </x:c>
      <x:c r="M26" s="72" t="str">
        <x:f>IF(AND(I26=4,J26="通过",K26&lt;=1,L26="通过"),"通过","需检查")</x:f>
        <x:v>通过</x:v>
      </x:c>
    </x:row>
    <x:row r="27" ht="52" customHeight="1">
      <x:c r="A27" s="72" t="str">
        <x:v>R024</x:v>
      </x:c>
      <x:c r="B27" s="72" t="str">
        <x:v>公共室内</x:v>
      </x:c>
      <x:c r="C27" s="72" t="str">
        <x:v>精力低</x:v>
      </x:c>
      <x:c r="D27" s="72" t="str">
        <x:v>无特殊情况</x:v>
      </x:c>
      <x:c r="E27" s="56" t="str">
        <x:v>慢走
public-indoor-slow-walk
总4=精4+情0</x:v>
      </x:c>
      <x:c r="F27" s="56" t="str">
        <x:v>提踵
public-indoor-calf-raise
总4=精4+情0</x:v>
      </x:c>
      <x:c r="G27" s="56" t="str">
        <x:v>扶墙侧抬腿
public-indoor-supported-side-leg-raise
总4=精4+情0</x:v>
      </x:c>
      <x:c r="H27" s="56" t="str">
        <x:v>原地踏步
public-indoor-march-in-place
总2=精2+情0</x:v>
      </x:c>
      <x:c r="I27" s="74" t="n">
        <x:f>IF(E27&lt;&gt;"",1,0)+IF(F27&lt;&gt;"",1,0)+IF(G27&lt;&gt;"",1,0)+IF(H27&lt;&gt;"",1,0)</x:f>
        <x:v>4</x:v>
      </x:c>
      <x:c r="J27" s="72" t="str">
        <x:f>IF(AND(E27&lt;&gt;F27,E27&lt;&gt;G27,E27&lt;&gt;H27,F27&lt;&gt;G27,F27&lt;&gt;H27,G27&lt;&gt;H27),"通过","有重复")</x:f>
        <x:v>通过</x:v>
      </x:c>
      <x:c r="K27" s="74" t="n">
        <x:v>0</x:v>
      </x:c>
      <x:c r="L27" s="72" t="str">
        <x:v>通过</x:v>
      </x:c>
      <x:c r="M27" s="72" t="str">
        <x:f>IF(AND(I27=4,J27="通过",K27&lt;=1,L27="通过"),"通过","需检查")</x:f>
        <x:v>通过</x:v>
      </x:c>
    </x:row>
    <x:row r="28" ht="52" customHeight="1">
      <x:c r="A28" s="75" t="str">
        <x:v>R025</x:v>
      </x:c>
      <x:c r="B28" s="75" t="str">
        <x:v>公共室内</x:v>
      </x:c>
      <x:c r="C28" s="75" t="str">
        <x:v>精力一般</x:v>
      </x:c>
      <x:c r="D28" s="75" t="str">
        <x:v>饭后</x:v>
      </x:c>
      <x:c r="E28" s="76" t="str">
        <x:v>慢走
public-indoor-slow-walk
总5=精2+情3</x:v>
      </x:c>
      <x:c r="F28" s="76" t="str">
        <x:v>原地踏步
public-indoor-march-in-place
总5=精4+情1</x:v>
      </x:c>
      <x:c r="G28" s="76" t="str">
        <x:v>侧向踏步
public-indoor-side-step
总5=精4+情1</x:v>
      </x:c>
      <x:c r="H28" s="76" t="str">
        <x:v>提踵
public-indoor-calf-raise
总1=精2+情-1</x:v>
      </x:c>
      <x:c r="I28" s="77" t="n">
        <x:f>IF(E28&lt;&gt;"",1,0)+IF(F28&lt;&gt;"",1,0)+IF(G28&lt;&gt;"",1,0)+IF(H28&lt;&gt;"",1,0)</x:f>
        <x:v>4</x:v>
      </x:c>
      <x:c r="J28" s="75" t="str">
        <x:f>IF(AND(E28&lt;&gt;F28,E28&lt;&gt;G28,E28&lt;&gt;H28,F28&lt;&gt;G28,F28&lt;&gt;H28,G28&lt;&gt;H28),"通过","有重复")</x:f>
        <x:v>通过</x:v>
      </x:c>
      <x:c r="K28" s="77" t="n">
        <x:v>0</x:v>
      </x:c>
      <x:c r="L28" s="75" t="str">
        <x:v>通过</x:v>
      </x:c>
      <x:c r="M28" s="75" t="str">
        <x:f>IF(AND(I28=4,J28="通过",K28&lt;=1,L28="通过"),"通过","需检查")</x:f>
        <x:v>通过</x:v>
      </x:c>
    </x:row>
    <x:row r="29" ht="52" customHeight="1">
      <x:c r="A29" s="72" t="str">
        <x:v>R026</x:v>
      </x:c>
      <x:c r="B29" s="72" t="str">
        <x:v>公共室内</x:v>
      </x:c>
      <x:c r="C29" s="72" t="str">
        <x:v>精力一般</x:v>
      </x:c>
      <x:c r="D29" s="72" t="str">
        <x:v>久坐后</x:v>
      </x:c>
      <x:c r="E29" s="56" t="str">
        <x:v>原地踏步
public-indoor-march-in-place
总7=精4+情3</x:v>
      </x:c>
      <x:c r="F29" s="56" t="str">
        <x:v>侧向踏步
public-indoor-side-step
总7=精4+情3</x:v>
      </x:c>
      <x:c r="G29" s="56" t="str">
        <x:v>前后点步
public-indoor-forward-back-tap
总7=精4+情3</x:v>
      </x:c>
      <x:c r="H29" s="56" t="str">
        <x:v>提踵
public-indoor-calf-raise
总5=精2+情3</x:v>
      </x:c>
      <x:c r="I29" s="74" t="n">
        <x:f>IF(E29&lt;&gt;"",1,0)+IF(F29&lt;&gt;"",1,0)+IF(G29&lt;&gt;"",1,0)+IF(H29&lt;&gt;"",1,0)</x:f>
        <x:v>4</x:v>
      </x:c>
      <x:c r="J29" s="72" t="str">
        <x:f>IF(AND(E29&lt;&gt;F29,E29&lt;&gt;G29,E29&lt;&gt;H29,F29&lt;&gt;G29,F29&lt;&gt;H29,G29&lt;&gt;H29),"通过","有重复")</x:f>
        <x:v>通过</x:v>
      </x:c>
      <x:c r="K29" s="74" t="n">
        <x:v>0</x:v>
      </x:c>
      <x:c r="L29" s="72" t="str">
        <x:v>通过</x:v>
      </x:c>
      <x:c r="M29" s="72" t="str">
        <x:f>IF(AND(I29=4,J29="通过",K29&lt;=1,L29="通过"),"通过","需检查")</x:f>
        <x:v>通过</x:v>
      </x:c>
    </x:row>
    <x:row r="30" ht="52" customHeight="1">
      <x:c r="A30" s="72" t="str">
        <x:v>R027</x:v>
      </x:c>
      <x:c r="B30" s="72" t="str">
        <x:v>公共室内</x:v>
      </x:c>
      <x:c r="C30" s="72" t="str">
        <x:v>精力一般</x:v>
      </x:c>
      <x:c r="D30" s="72" t="str">
        <x:v>压力后</x:v>
      </x:c>
      <x:c r="E30" s="56" t="str">
        <x:v>原地踏步
public-indoor-march-in-place
总7=精4+情3</x:v>
      </x:c>
      <x:c r="F30" s="56" t="str">
        <x:v>侧向踏步
public-indoor-side-step
总7=精4+情3</x:v>
      </x:c>
      <x:c r="G30" s="56" t="str">
        <x:v>前后点步
public-indoor-forward-back-tap
总7=精4+情3</x:v>
      </x:c>
      <x:c r="H30" s="56" t="str">
        <x:v>提踵
public-indoor-calf-raise
总3=精2+情1</x:v>
      </x:c>
      <x:c r="I30" s="74" t="n">
        <x:f>IF(E30&lt;&gt;"",1,0)+IF(F30&lt;&gt;"",1,0)+IF(G30&lt;&gt;"",1,0)+IF(H30&lt;&gt;"",1,0)</x:f>
        <x:v>4</x:v>
      </x:c>
      <x:c r="J30" s="72" t="str">
        <x:f>IF(AND(E30&lt;&gt;F30,E30&lt;&gt;G30,E30&lt;&gt;H30,F30&lt;&gt;G30,F30&lt;&gt;H30,G30&lt;&gt;H30),"通过","有重复")</x:f>
        <x:v>通过</x:v>
      </x:c>
      <x:c r="K30" s="74" t="n">
        <x:v>0</x:v>
      </x:c>
      <x:c r="L30" s="72" t="str">
        <x:v>通过</x:v>
      </x:c>
      <x:c r="M30" s="72" t="str">
        <x:f>IF(AND(I30=4,J30="通过",K30&lt;=1,L30="通过"),"通过","需检查")</x:f>
        <x:v>通过</x:v>
      </x:c>
    </x:row>
    <x:row r="31" ht="52" customHeight="1">
      <x:c r="A31" s="72" t="str">
        <x:v>R028</x:v>
      </x:c>
      <x:c r="B31" s="72" t="str">
        <x:v>公共室内</x:v>
      </x:c>
      <x:c r="C31" s="72" t="str">
        <x:v>精力一般</x:v>
      </x:c>
      <x:c r="D31" s="72" t="str">
        <x:v>睡眠不足</x:v>
      </x:c>
      <x:c r="E31" s="56" t="str">
        <x:v>慢走
public-indoor-slow-walk
总5=精2+情3</x:v>
      </x:c>
      <x:c r="F31" s="56" t="str">
        <x:v>提踵
public-indoor-calf-raise
总5=精2+情3</x:v>
      </x:c>
      <x:c r="G31" s="56" t="str">
        <x:v>前后点步
public-indoor-forward-back-tap
总5=精4+情1</x:v>
      </x:c>
      <x:c r="H31" s="56" t="str">
        <x:v>扶墙侧抬腿
public-indoor-supported-side-leg-raise
总5=精2+情3</x:v>
      </x:c>
      <x:c r="I31" s="74" t="n">
        <x:f>IF(E31&lt;&gt;"",1,0)+IF(F31&lt;&gt;"",1,0)+IF(G31&lt;&gt;"",1,0)+IF(H31&lt;&gt;"",1,0)</x:f>
        <x:v>4</x:v>
      </x:c>
      <x:c r="J31" s="72" t="str">
        <x:f>IF(AND(E31&lt;&gt;F31,E31&lt;&gt;G31,E31&lt;&gt;H31,F31&lt;&gt;G31,F31&lt;&gt;H31,G31&lt;&gt;H31),"通过","有重复")</x:f>
        <x:v>通过</x:v>
      </x:c>
      <x:c r="K31" s="74" t="n">
        <x:v>0</x:v>
      </x:c>
      <x:c r="L31" s="72" t="str">
        <x:v>通过</x:v>
      </x:c>
      <x:c r="M31" s="72" t="str">
        <x:f>IF(AND(I31=4,J31="通过",K31&lt;=1,L31="通过"),"通过","需检查")</x:f>
        <x:v>通过</x:v>
      </x:c>
    </x:row>
    <x:row r="32" ht="52" customHeight="1">
      <x:c r="A32" s="72" t="str">
        <x:v>R029</x:v>
      </x:c>
      <x:c r="B32" s="72" t="str">
        <x:v>公共室内</x:v>
      </x:c>
      <x:c r="C32" s="72" t="str">
        <x:v>精力一般</x:v>
      </x:c>
      <x:c r="D32" s="72" t="str">
        <x:v>刚活动后</x:v>
      </x:c>
      <x:c r="E32" s="56" t="str">
        <x:v>慢走
public-indoor-slow-walk
总5=精2+情3</x:v>
      </x:c>
      <x:c r="F32" s="56" t="str">
        <x:v>前后点步
public-indoor-forward-back-tap
总5=精4+情1</x:v>
      </x:c>
      <x:c r="G32" s="56" t="str">
        <x:v>原地踏步
public-indoor-march-in-place
总3=精4+情-1</x:v>
      </x:c>
      <x:c r="H32" s="56" t="str">
        <x:v>提踵
public-indoor-calf-raise
总3=精2+情1</x:v>
      </x:c>
      <x:c r="I32" s="74" t="n">
        <x:f>IF(E32&lt;&gt;"",1,0)+IF(F32&lt;&gt;"",1,0)+IF(G32&lt;&gt;"",1,0)+IF(H32&lt;&gt;"",1,0)</x:f>
        <x:v>4</x:v>
      </x:c>
      <x:c r="J32" s="72" t="str">
        <x:f>IF(AND(E32&lt;&gt;F32,E32&lt;&gt;G32,E32&lt;&gt;H32,F32&lt;&gt;G32,F32&lt;&gt;H32,G32&lt;&gt;H32),"通过","有重复")</x:f>
        <x:v>通过</x:v>
      </x:c>
      <x:c r="K32" s="74" t="n">
        <x:v>0</x:v>
      </x:c>
      <x:c r="L32" s="72" t="str">
        <x:v>通过</x:v>
      </x:c>
      <x:c r="M32" s="72" t="str">
        <x:f>IF(AND(I32=4,J32="通过",K32&lt;=1,L32="通过"),"通过","需检查")</x:f>
        <x:v>通过</x:v>
      </x:c>
    </x:row>
    <x:row r="33" ht="52" customHeight="1">
      <x:c r="A33" s="72" t="str">
        <x:v>R030</x:v>
      </x:c>
      <x:c r="B33" s="72" t="str">
        <x:v>公共室内</x:v>
      </x:c>
      <x:c r="C33" s="72" t="str">
        <x:v>精力一般</x:v>
      </x:c>
      <x:c r="D33" s="72" t="str">
        <x:v>无特殊情况</x:v>
      </x:c>
      <x:c r="E33" s="56" t="str">
        <x:v>原地踏步
public-indoor-march-in-place
总4=精4+情0</x:v>
      </x:c>
      <x:c r="F33" s="56" t="str">
        <x:v>侧向踏步
public-indoor-side-step
总4=精4+情0</x:v>
      </x:c>
      <x:c r="G33" s="56" t="str">
        <x:v>前后点步
public-indoor-forward-back-tap
总4=精4+情0</x:v>
      </x:c>
      <x:c r="H33" s="56" t="str">
        <x:v>提踵
public-indoor-calf-raise
总2=精2+情0</x:v>
      </x:c>
      <x:c r="I33" s="74" t="n">
        <x:f>IF(E33&lt;&gt;"",1,0)+IF(F33&lt;&gt;"",1,0)+IF(G33&lt;&gt;"",1,0)+IF(H33&lt;&gt;"",1,0)</x:f>
        <x:v>4</x:v>
      </x:c>
      <x:c r="J33" s="72" t="str">
        <x:f>IF(AND(E33&lt;&gt;F33,E33&lt;&gt;G33,E33&lt;&gt;H33,F33&lt;&gt;G33,F33&lt;&gt;H33,G33&lt;&gt;H33),"通过","有重复")</x:f>
        <x:v>通过</x:v>
      </x:c>
      <x:c r="K33" s="74" t="n">
        <x:v>0</x:v>
      </x:c>
      <x:c r="L33" s="72" t="str">
        <x:v>通过</x:v>
      </x:c>
      <x:c r="M33" s="72" t="str">
        <x:f>IF(AND(I33=4,J33="通过",K33&lt;=1,L33="通过"),"通过","需检查")</x:f>
        <x:v>通过</x:v>
      </x:c>
    </x:row>
    <x:row r="34" ht="52" customHeight="1">
      <x:c r="A34" s="75" t="str">
        <x:v>R031</x:v>
      </x:c>
      <x:c r="B34" s="75" t="str">
        <x:v>公共室内</x:v>
      </x:c>
      <x:c r="C34" s="75" t="str">
        <x:v>精力较好</x:v>
      </x:c>
      <x:c r="D34" s="75" t="str">
        <x:v>饭后</x:v>
      </x:c>
      <x:c r="E34" s="76" t="str">
        <x:v>慢走
public-indoor-slow-walk
总3=精0+情3</x:v>
      </x:c>
      <x:c r="F34" s="76" t="str">
        <x:v>原地踏步
public-indoor-march-in-place
总3=精2+情1</x:v>
      </x:c>
      <x:c r="G34" s="76" t="str">
        <x:v>侧向踏步
public-indoor-side-step
总3=精2+情1</x:v>
      </x:c>
      <x:c r="H34" s="76" t="str">
        <x:v>提踵
public-indoor-calf-raise
总-1=精0+情-1</x:v>
      </x:c>
      <x:c r="I34" s="77" t="n">
        <x:f>IF(E34&lt;&gt;"",1,0)+IF(F34&lt;&gt;"",1,0)+IF(G34&lt;&gt;"",1,0)+IF(H34&lt;&gt;"",1,0)</x:f>
        <x:v>4</x:v>
      </x:c>
      <x:c r="J34" s="75" t="str">
        <x:f>IF(AND(E34&lt;&gt;F34,E34&lt;&gt;G34,E34&lt;&gt;H34,F34&lt;&gt;G34,F34&lt;&gt;H34,G34&lt;&gt;H34),"通过","有重复")</x:f>
        <x:v>通过</x:v>
      </x:c>
      <x:c r="K34" s="77" t="n">
        <x:v>0</x:v>
      </x:c>
      <x:c r="L34" s="75" t="str">
        <x:v>通过</x:v>
      </x:c>
      <x:c r="M34" s="75" t="str">
        <x:f>IF(AND(I34=4,J34="通过",K34&lt;=1,L34="通过"),"通过","需检查")</x:f>
        <x:v>通过</x:v>
      </x:c>
    </x:row>
    <x:row r="35" ht="52" customHeight="1">
      <x:c r="A35" s="72" t="str">
        <x:v>R032</x:v>
      </x:c>
      <x:c r="B35" s="72" t="str">
        <x:v>公共室内</x:v>
      </x:c>
      <x:c r="C35" s="72" t="str">
        <x:v>精力较好</x:v>
      </x:c>
      <x:c r="D35" s="72" t="str">
        <x:v>久坐后</x:v>
      </x:c>
      <x:c r="E35" s="56" t="str">
        <x:v>原地踏步
public-indoor-march-in-place
总5=精2+情3</x:v>
      </x:c>
      <x:c r="F35" s="56" t="str">
        <x:v>侧向踏步
public-indoor-side-step
总5=精2+情3</x:v>
      </x:c>
      <x:c r="G35" s="56" t="str">
        <x:v>前后点步
public-indoor-forward-back-tap
总5=精2+情3</x:v>
      </x:c>
      <x:c r="H35" s="56" t="str">
        <x:v>提踵
public-indoor-calf-raise
总3=精0+情3</x:v>
      </x:c>
      <x:c r="I35" s="74" t="n">
        <x:f>IF(E35&lt;&gt;"",1,0)+IF(F35&lt;&gt;"",1,0)+IF(G35&lt;&gt;"",1,0)+IF(H35&lt;&gt;"",1,0)</x:f>
        <x:v>4</x:v>
      </x:c>
      <x:c r="J35" s="72" t="str">
        <x:f>IF(AND(E35&lt;&gt;F35,E35&lt;&gt;G35,E35&lt;&gt;H35,F35&lt;&gt;G35,F35&lt;&gt;H35,G35&lt;&gt;H35),"通过","有重复")</x:f>
        <x:v>通过</x:v>
      </x:c>
      <x:c r="K35" s="74" t="n">
        <x:v>0</x:v>
      </x:c>
      <x:c r="L35" s="72" t="str">
        <x:v>通过</x:v>
      </x:c>
      <x:c r="M35" s="72" t="str">
        <x:f>IF(AND(I35=4,J35="通过",K35&lt;=1,L35="通过"),"通过","需检查")</x:f>
        <x:v>通过</x:v>
      </x:c>
    </x:row>
    <x:row r="36" ht="52" customHeight="1">
      <x:c r="A36" s="72" t="str">
        <x:v>R033</x:v>
      </x:c>
      <x:c r="B36" s="72" t="str">
        <x:v>公共室内</x:v>
      </x:c>
      <x:c r="C36" s="72" t="str">
        <x:v>精力较好</x:v>
      </x:c>
      <x:c r="D36" s="72" t="str">
        <x:v>压力后</x:v>
      </x:c>
      <x:c r="E36" s="56" t="str">
        <x:v>原地踏步
public-indoor-march-in-place
总5=精2+情3</x:v>
      </x:c>
      <x:c r="F36" s="56" t="str">
        <x:v>侧向踏步
public-indoor-side-step
总5=精2+情3</x:v>
      </x:c>
      <x:c r="G36" s="56" t="str">
        <x:v>前后点步
public-indoor-forward-back-tap
总5=精2+情3</x:v>
      </x:c>
      <x:c r="H36" s="56" t="str">
        <x:v>提踵
public-indoor-calf-raise
总1=精0+情1</x:v>
      </x:c>
      <x:c r="I36" s="74" t="n">
        <x:f>IF(E36&lt;&gt;"",1,0)+IF(F36&lt;&gt;"",1,0)+IF(G36&lt;&gt;"",1,0)+IF(H36&lt;&gt;"",1,0)</x:f>
        <x:v>4</x:v>
      </x:c>
      <x:c r="J36" s="72" t="str">
        <x:f>IF(AND(E36&lt;&gt;F36,E36&lt;&gt;G36,E36&lt;&gt;H36,F36&lt;&gt;G36,F36&lt;&gt;H36,G36&lt;&gt;H36),"通过","有重复")</x:f>
        <x:v>通过</x:v>
      </x:c>
      <x:c r="K36" s="74" t="n">
        <x:v>0</x:v>
      </x:c>
      <x:c r="L36" s="72" t="str">
        <x:v>通过</x:v>
      </x:c>
      <x:c r="M36" s="72" t="str">
        <x:f>IF(AND(I36=4,J36="通过",K36&lt;=1,L36="通过"),"通过","需检查")</x:f>
        <x:v>通过</x:v>
      </x:c>
    </x:row>
    <x:row r="37" ht="52" customHeight="1">
      <x:c r="A37" s="72" t="str">
        <x:v>R034</x:v>
      </x:c>
      <x:c r="B37" s="72" t="str">
        <x:v>公共室内</x:v>
      </x:c>
      <x:c r="C37" s="72" t="str">
        <x:v>精力较好</x:v>
      </x:c>
      <x:c r="D37" s="72" t="str">
        <x:v>睡眠不足</x:v>
      </x:c>
      <x:c r="E37" s="56" t="str">
        <x:v>慢走
public-indoor-slow-walk
总3=精0+情3</x:v>
      </x:c>
      <x:c r="F37" s="56" t="str">
        <x:v>提踵
public-indoor-calf-raise
总3=精0+情3</x:v>
      </x:c>
      <x:c r="G37" s="56" t="str">
        <x:v>前后点步
public-indoor-forward-back-tap
总3=精2+情1</x:v>
      </x:c>
      <x:c r="H37" s="56" t="str">
        <x:v>扶墙侧抬腿
public-indoor-supported-side-leg-raise
总3=精0+情3</x:v>
      </x:c>
      <x:c r="I37" s="74" t="n">
        <x:f>IF(E37&lt;&gt;"",1,0)+IF(F37&lt;&gt;"",1,0)+IF(G37&lt;&gt;"",1,0)+IF(H37&lt;&gt;"",1,0)</x:f>
        <x:v>4</x:v>
      </x:c>
      <x:c r="J37" s="72" t="str">
        <x:f>IF(AND(E37&lt;&gt;F37,E37&lt;&gt;G37,E37&lt;&gt;H37,F37&lt;&gt;G37,F37&lt;&gt;H37,G37&lt;&gt;H37),"通过","有重复")</x:f>
        <x:v>通过</x:v>
      </x:c>
      <x:c r="K37" s="74" t="n">
        <x:v>0</x:v>
      </x:c>
      <x:c r="L37" s="72" t="str">
        <x:v>通过</x:v>
      </x:c>
      <x:c r="M37" s="72" t="str">
        <x:f>IF(AND(I37=4,J37="通过",K37&lt;=1,L37="通过"),"通过","需检查")</x:f>
        <x:v>通过</x:v>
      </x:c>
    </x:row>
    <x:row r="38" ht="52" customHeight="1">
      <x:c r="A38" s="72" t="str">
        <x:v>R035</x:v>
      </x:c>
      <x:c r="B38" s="72" t="str">
        <x:v>公共室内</x:v>
      </x:c>
      <x:c r="C38" s="72" t="str">
        <x:v>精力较好</x:v>
      </x:c>
      <x:c r="D38" s="72" t="str">
        <x:v>刚活动后</x:v>
      </x:c>
      <x:c r="E38" s="56" t="str">
        <x:v>慢走
public-indoor-slow-walk
总3=精0+情3</x:v>
      </x:c>
      <x:c r="F38" s="56" t="str">
        <x:v>前后点步
public-indoor-forward-back-tap
总3=精2+情1</x:v>
      </x:c>
      <x:c r="G38" s="56" t="str">
        <x:v>原地踏步
public-indoor-march-in-place
总1=精2+情-1</x:v>
      </x:c>
      <x:c r="H38" s="56" t="str">
        <x:v>提踵
public-indoor-calf-raise
总1=精0+情1</x:v>
      </x:c>
      <x:c r="I38" s="74" t="n">
        <x:f>IF(E38&lt;&gt;"",1,0)+IF(F38&lt;&gt;"",1,0)+IF(G38&lt;&gt;"",1,0)+IF(H38&lt;&gt;"",1,0)</x:f>
        <x:v>4</x:v>
      </x:c>
      <x:c r="J38" s="72" t="str">
        <x:f>IF(AND(E38&lt;&gt;F38,E38&lt;&gt;G38,E38&lt;&gt;H38,F38&lt;&gt;G38,F38&lt;&gt;H38,G38&lt;&gt;H38),"通过","有重复")</x:f>
        <x:v>通过</x:v>
      </x:c>
      <x:c r="K38" s="74" t="n">
        <x:v>0</x:v>
      </x:c>
      <x:c r="L38" s="72" t="str">
        <x:v>通过</x:v>
      </x:c>
      <x:c r="M38" s="72" t="str">
        <x:f>IF(AND(I38=4,J38="通过",K38&lt;=1,L38="通过"),"通过","需检查")</x:f>
        <x:v>通过</x:v>
      </x:c>
    </x:row>
    <x:row r="39" ht="52" customHeight="1">
      <x:c r="A39" s="72" t="str">
        <x:v>R036</x:v>
      </x:c>
      <x:c r="B39" s="72" t="str">
        <x:v>公共室内</x:v>
      </x:c>
      <x:c r="C39" s="72" t="str">
        <x:v>精力较好</x:v>
      </x:c>
      <x:c r="D39" s="72" t="str">
        <x:v>无特殊情况</x:v>
      </x:c>
      <x:c r="E39" s="56" t="str">
        <x:v>原地踏步
public-indoor-march-in-place
总2=精2+情0</x:v>
      </x:c>
      <x:c r="F39" s="56" t="str">
        <x:v>侧向踏步
public-indoor-side-step
总2=精2+情0</x:v>
      </x:c>
      <x:c r="G39" s="56" t="str">
        <x:v>前后点步
public-indoor-forward-back-tap
总2=精2+情0</x:v>
      </x:c>
      <x:c r="H39" s="56" t="str">
        <x:v>提踵
public-indoor-calf-raise
总0=精0+情0</x:v>
      </x:c>
      <x:c r="I39" s="74" t="n">
        <x:f>IF(E39&lt;&gt;"",1,0)+IF(F39&lt;&gt;"",1,0)+IF(G39&lt;&gt;"",1,0)+IF(H39&lt;&gt;"",1,0)</x:f>
        <x:v>4</x:v>
      </x:c>
      <x:c r="J39" s="72" t="str">
        <x:f>IF(AND(E39&lt;&gt;F39,E39&lt;&gt;G39,E39&lt;&gt;H39,F39&lt;&gt;G39,F39&lt;&gt;H39,G39&lt;&gt;H39),"通过","有重复")</x:f>
        <x:v>通过</x:v>
      </x:c>
      <x:c r="K39" s="74" t="n">
        <x:v>0</x:v>
      </x:c>
      <x:c r="L39" s="72" t="str">
        <x:v>通过</x:v>
      </x:c>
      <x:c r="M39" s="72" t="str">
        <x:f>IF(AND(I39=4,J39="通过",K39&lt;=1,L39="通过"),"通过","需检查")</x:f>
        <x:v>通过</x:v>
      </x:c>
    </x:row>
    <x:row r="40" ht="52" customHeight="1">
      <x:c r="A40" s="75" t="str">
        <x:v>R037</x:v>
      </x:c>
      <x:c r="B40" s="75" t="str">
        <x:v>公共室外</x:v>
      </x:c>
      <x:c r="C40" s="75" t="str">
        <x:v>精力低</x:v>
      </x:c>
      <x:c r="D40" s="75" t="str">
        <x:v>饭后</x:v>
      </x:c>
      <x:c r="E40" s="76" t="str">
        <x:v>慢走
public-outdoor-slow-walk
总7=精4+情3</x:v>
      </x:c>
      <x:c r="F40" s="76" t="str">
        <x:v>侧向踏步
public-outdoor-side-step
总3=精2+情1</x:v>
      </x:c>
      <x:c r="G40" s="76" t="str">
        <x:v>前后点步
public-outdoor-forward-back-tap
总3=精2+情1</x:v>
      </x:c>
      <x:c r="H40" s="76" t="str">
        <x:v>适度快走
public-outdoor-moderate-brisk-walk
总1=精0+情1</x:v>
      </x:c>
      <x:c r="I40" s="77" t="n">
        <x:f>IF(E40&lt;&gt;"",1,0)+IF(F40&lt;&gt;"",1,0)+IF(G40&lt;&gt;"",1,0)+IF(H40&lt;&gt;"",1,0)</x:f>
        <x:v>4</x:v>
      </x:c>
      <x:c r="J40" s="75" t="str">
        <x:f>IF(AND(E40&lt;&gt;F40,E40&lt;&gt;G40,E40&lt;&gt;H40,F40&lt;&gt;G40,F40&lt;&gt;H40,G40&lt;&gt;H40),"通过","有重复")</x:f>
        <x:v>通过</x:v>
      </x:c>
      <x:c r="K40" s="77" t="n">
        <x:v>0</x:v>
      </x:c>
      <x:c r="L40" s="75" t="str">
        <x:v>通过</x:v>
      </x:c>
      <x:c r="M40" s="75" t="str">
        <x:f>IF(AND(I40=4,J40="通过",K40&lt;=1,L40="通过"),"通过","需检查")</x:f>
        <x:v>通过</x:v>
      </x:c>
    </x:row>
    <x:row r="41" ht="52" customHeight="1">
      <x:c r="A41" s="72" t="str">
        <x:v>R038</x:v>
      </x:c>
      <x:c r="B41" s="72" t="str">
        <x:v>公共室外</x:v>
      </x:c>
      <x:c r="C41" s="72" t="str">
        <x:v>精力低</x:v>
      </x:c>
      <x:c r="D41" s="72" t="str">
        <x:v>久坐后</x:v>
      </x:c>
      <x:c r="E41" s="56" t="str">
        <x:v>慢走
public-outdoor-slow-walk
总7=精4+情3</x:v>
      </x:c>
      <x:c r="F41" s="56" t="str">
        <x:v>侧向踏步
public-outdoor-side-step
总5=精2+情3</x:v>
      </x:c>
      <x:c r="G41" s="56" t="str">
        <x:v>前后点步
public-outdoor-forward-back-tap
总5=精2+情3</x:v>
      </x:c>
      <x:c r="H41" s="56" t="str">
        <x:v>开合步
public-outdoor-step-jack
总3=精0+情3</x:v>
      </x:c>
      <x:c r="I41" s="74" t="n">
        <x:f>IF(E41&lt;&gt;"",1,0)+IF(F41&lt;&gt;"",1,0)+IF(G41&lt;&gt;"",1,0)+IF(H41&lt;&gt;"",1,0)</x:f>
        <x:v>4</x:v>
      </x:c>
      <x:c r="J41" s="72" t="str">
        <x:f>IF(AND(E41&lt;&gt;F41,E41&lt;&gt;G41,E41&lt;&gt;H41,F41&lt;&gt;G41,F41&lt;&gt;H41,G41&lt;&gt;H41),"通过","有重复")</x:f>
        <x:v>通过</x:v>
      </x:c>
      <x:c r="K41" s="74" t="n">
        <x:v>0</x:v>
      </x:c>
      <x:c r="L41" s="72" t="str">
        <x:v>通过</x:v>
      </x:c>
      <x:c r="M41" s="72" t="str">
        <x:f>IF(AND(I41=4,J41="通过",K41&lt;=1,L41="通过"),"通过","需检查")</x:f>
        <x:v>通过</x:v>
      </x:c>
    </x:row>
    <x:row r="42" ht="52" customHeight="1">
      <x:c r="A42" s="72" t="str">
        <x:v>R039</x:v>
      </x:c>
      <x:c r="B42" s="72" t="str">
        <x:v>公共室外</x:v>
      </x:c>
      <x:c r="C42" s="72" t="str">
        <x:v>精力低</x:v>
      </x:c>
      <x:c r="D42" s="72" t="str">
        <x:v>压力后</x:v>
      </x:c>
      <x:c r="E42" s="56" t="str">
        <x:v>慢走
public-outdoor-slow-walk
总7=精4+情3</x:v>
      </x:c>
      <x:c r="F42" s="56" t="str">
        <x:v>侧向踏步
public-outdoor-side-step
总5=精2+情3</x:v>
      </x:c>
      <x:c r="G42" s="56" t="str">
        <x:v>前后点步
public-outdoor-forward-back-tap
总5=精2+情3</x:v>
      </x:c>
      <x:c r="H42" s="56" t="str">
        <x:v>适度快走
public-outdoor-moderate-brisk-walk
总3=精0+情3</x:v>
      </x:c>
      <x:c r="I42" s="74" t="n">
        <x:f>IF(E42&lt;&gt;"",1,0)+IF(F42&lt;&gt;"",1,0)+IF(G42&lt;&gt;"",1,0)+IF(H42&lt;&gt;"",1,0)</x:f>
        <x:v>4</x:v>
      </x:c>
      <x:c r="J42" s="72" t="str">
        <x:f>IF(AND(E42&lt;&gt;F42,E42&lt;&gt;G42,E42&lt;&gt;H42,F42&lt;&gt;G42,F42&lt;&gt;H42,G42&lt;&gt;H42),"通过","有重复")</x:f>
        <x:v>通过</x:v>
      </x:c>
      <x:c r="K42" s="74" t="n">
        <x:v>0</x:v>
      </x:c>
      <x:c r="L42" s="72" t="str">
        <x:v>通过</x:v>
      </x:c>
      <x:c r="M42" s="72" t="str">
        <x:f>IF(AND(I42=4,J42="通过",K42&lt;=1,L42="通过"),"通过","需检查")</x:f>
        <x:v>通过</x:v>
      </x:c>
    </x:row>
    <x:row r="43" ht="52" customHeight="1">
      <x:c r="A43" s="72" t="str">
        <x:v>R040</x:v>
      </x:c>
      <x:c r="B43" s="72" t="str">
        <x:v>公共室外</x:v>
      </x:c>
      <x:c r="C43" s="72" t="str">
        <x:v>精力低</x:v>
      </x:c>
      <x:c r="D43" s="72" t="str">
        <x:v>睡眠不足</x:v>
      </x:c>
      <x:c r="E43" s="56" t="str">
        <x:v>慢走
public-outdoor-slow-walk
总7=精4+情3</x:v>
      </x:c>
      <x:c r="F43" s="56" t="str">
        <x:v>前后点步
public-outdoor-forward-back-tap
总3=精2+情1</x:v>
      </x:c>
      <x:c r="G43" s="56" t="str">
        <x:v>侧向踏步
public-outdoor-side-step
总1=精2+情-1</x:v>
      </x:c>
      <x:c r="H43" s="56" t="str">
        <x:v>适度快走
public-outdoor-moderate-brisk-walk
总-3=精0+情-3</x:v>
      </x:c>
      <x:c r="I43" s="74" t="n">
        <x:f>IF(E43&lt;&gt;"",1,0)+IF(F43&lt;&gt;"",1,0)+IF(G43&lt;&gt;"",1,0)+IF(H43&lt;&gt;"",1,0)</x:f>
        <x:v>4</x:v>
      </x:c>
      <x:c r="J43" s="72" t="str">
        <x:f>IF(AND(E43&lt;&gt;F43,E43&lt;&gt;G43,E43&lt;&gt;H43,F43&lt;&gt;G43,F43&lt;&gt;H43,G43&lt;&gt;H43),"通过","有重复")</x:f>
        <x:v>通过</x:v>
      </x:c>
      <x:c r="K43" s="74" t="n">
        <x:v>0</x:v>
      </x:c>
      <x:c r="L43" s="72" t="str">
        <x:v>通过</x:v>
      </x:c>
      <x:c r="M43" s="72" t="str">
        <x:f>IF(AND(I43=4,J43="通过",K43&lt;=1,L43="通过"),"通过","需检查")</x:f>
        <x:v>通过</x:v>
      </x:c>
    </x:row>
    <x:row r="44" ht="52" customHeight="1">
      <x:c r="A44" s="72" t="str">
        <x:v>R041</x:v>
      </x:c>
      <x:c r="B44" s="72" t="str">
        <x:v>公共室外</x:v>
      </x:c>
      <x:c r="C44" s="72" t="str">
        <x:v>精力低</x:v>
      </x:c>
      <x:c r="D44" s="72" t="str">
        <x:v>刚活动后</x:v>
      </x:c>
      <x:c r="E44" s="56" t="str">
        <x:v>慢走
public-outdoor-slow-walk
总7=精4+情3</x:v>
      </x:c>
      <x:c r="F44" s="56" t="str">
        <x:v>前后点步
public-outdoor-forward-back-tap
总3=精2+情1</x:v>
      </x:c>
      <x:c r="G44" s="56" t="str">
        <x:v>侧向踏步
public-outdoor-side-step
总1=精2+情-1</x:v>
      </x:c>
      <x:c r="H44" s="56" t="str">
        <x:v>适度快走
public-outdoor-moderate-brisk-walk
总-3=精0+情-3</x:v>
      </x:c>
      <x:c r="I44" s="74" t="n">
        <x:f>IF(E44&lt;&gt;"",1,0)+IF(F44&lt;&gt;"",1,0)+IF(G44&lt;&gt;"",1,0)+IF(H44&lt;&gt;"",1,0)</x:f>
        <x:v>4</x:v>
      </x:c>
      <x:c r="J44" s="72" t="str">
        <x:f>IF(AND(E44&lt;&gt;F44,E44&lt;&gt;G44,E44&lt;&gt;H44,F44&lt;&gt;G44,F44&lt;&gt;H44,G44&lt;&gt;H44),"通过","有重复")</x:f>
        <x:v>通过</x:v>
      </x:c>
      <x:c r="K44" s="74" t="n">
        <x:v>0</x:v>
      </x:c>
      <x:c r="L44" s="72" t="str">
        <x:v>通过</x:v>
      </x:c>
      <x:c r="M44" s="72" t="str">
        <x:f>IF(AND(I44=4,J44="通过",K44&lt;=1,L44="通过"),"通过","需检查")</x:f>
        <x:v>通过</x:v>
      </x:c>
    </x:row>
    <x:row r="45" ht="52" customHeight="1">
      <x:c r="A45" s="72" t="str">
        <x:v>R042</x:v>
      </x:c>
      <x:c r="B45" s="72" t="str">
        <x:v>公共室外</x:v>
      </x:c>
      <x:c r="C45" s="72" t="str">
        <x:v>精力低</x:v>
      </x:c>
      <x:c r="D45" s="72" t="str">
        <x:v>无特殊情况</x:v>
      </x:c>
      <x:c r="E45" s="56" t="str">
        <x:v>慢走
public-outdoor-slow-walk
总4=精4+情0</x:v>
      </x:c>
      <x:c r="F45" s="56" t="str">
        <x:v>侧向踏步
public-outdoor-side-step
总2=精2+情0</x:v>
      </x:c>
      <x:c r="G45" s="56" t="str">
        <x:v>前后点步
public-outdoor-forward-back-tap
总2=精2+情0</x:v>
      </x:c>
      <x:c r="H45" s="56" t="str">
        <x:v>适度快走
public-outdoor-moderate-brisk-walk
总0=精0+情0</x:v>
      </x:c>
      <x:c r="I45" s="74" t="n">
        <x:f>IF(E45&lt;&gt;"",1,0)+IF(F45&lt;&gt;"",1,0)+IF(G45&lt;&gt;"",1,0)+IF(H45&lt;&gt;"",1,0)</x:f>
        <x:v>4</x:v>
      </x:c>
      <x:c r="J45" s="72" t="str">
        <x:f>IF(AND(E45&lt;&gt;F45,E45&lt;&gt;G45,E45&lt;&gt;H45,F45&lt;&gt;G45,F45&lt;&gt;H45,G45&lt;&gt;H45),"通过","有重复")</x:f>
        <x:v>通过</x:v>
      </x:c>
      <x:c r="K45" s="74" t="n">
        <x:v>0</x:v>
      </x:c>
      <x:c r="L45" s="72" t="str">
        <x:v>通过</x:v>
      </x:c>
      <x:c r="M45" s="72" t="str">
        <x:f>IF(AND(I45=4,J45="通过",K45&lt;=1,L45="通过"),"通过","需检查")</x:f>
        <x:v>通过</x:v>
      </x:c>
    </x:row>
    <x:row r="46" ht="52" customHeight="1">
      <x:c r="A46" s="75" t="str">
        <x:v>R043</x:v>
      </x:c>
      <x:c r="B46" s="75" t="str">
        <x:v>公共室外</x:v>
      </x:c>
      <x:c r="C46" s="75" t="str">
        <x:v>精力一般</x:v>
      </x:c>
      <x:c r="D46" s="75" t="str">
        <x:v>饭后</x:v>
      </x:c>
      <x:c r="E46" s="76" t="str">
        <x:v>慢走
public-outdoor-slow-walk
总5=精2+情3</x:v>
      </x:c>
      <x:c r="F46" s="76" t="str">
        <x:v>侧向踏步
public-outdoor-side-step
总5=精4+情1</x:v>
      </x:c>
      <x:c r="G46" s="76" t="str">
        <x:v>前后点步
public-outdoor-forward-back-tap
总5=精4+情1</x:v>
      </x:c>
      <x:c r="H46" s="76" t="str">
        <x:v>适度快走
public-outdoor-moderate-brisk-walk
总3=精2+情1</x:v>
      </x:c>
      <x:c r="I46" s="77" t="n">
        <x:f>IF(E46&lt;&gt;"",1,0)+IF(F46&lt;&gt;"",1,0)+IF(G46&lt;&gt;"",1,0)+IF(H46&lt;&gt;"",1,0)</x:f>
        <x:v>4</x:v>
      </x:c>
      <x:c r="J46" s="75" t="str">
        <x:f>IF(AND(E46&lt;&gt;F46,E46&lt;&gt;G46,E46&lt;&gt;H46,F46&lt;&gt;G46,F46&lt;&gt;H46,G46&lt;&gt;H46),"通过","有重复")</x:f>
        <x:v>通过</x:v>
      </x:c>
      <x:c r="K46" s="77" t="n">
        <x:v>0</x:v>
      </x:c>
      <x:c r="L46" s="75" t="str">
        <x:v>通过</x:v>
      </x:c>
      <x:c r="M46" s="75" t="str">
        <x:f>IF(AND(I46=4,J46="通过",K46&lt;=1,L46="通过"),"通过","需检查")</x:f>
        <x:v>通过</x:v>
      </x:c>
    </x:row>
    <x:row r="47" ht="52" customHeight="1">
      <x:c r="A47" s="72" t="str">
        <x:v>R044</x:v>
      </x:c>
      <x:c r="B47" s="72" t="str">
        <x:v>公共室外</x:v>
      </x:c>
      <x:c r="C47" s="72" t="str">
        <x:v>精力一般</x:v>
      </x:c>
      <x:c r="D47" s="72" t="str">
        <x:v>久坐后</x:v>
      </x:c>
      <x:c r="E47" s="56" t="str">
        <x:v>侧向踏步
public-outdoor-side-step
总7=精4+情3</x:v>
      </x:c>
      <x:c r="F47" s="56" t="str">
        <x:v>前后点步
public-outdoor-forward-back-tap
总7=精4+情3</x:v>
      </x:c>
      <x:c r="G47" s="56" t="str">
        <x:v>慢走
public-outdoor-slow-walk
总5=精2+情3</x:v>
      </x:c>
      <x:c r="H47" s="56" t="str">
        <x:v>开合步
public-outdoor-step-jack
总5=精2+情3</x:v>
      </x:c>
      <x:c r="I47" s="74" t="n">
        <x:f>IF(E47&lt;&gt;"",1,0)+IF(F47&lt;&gt;"",1,0)+IF(G47&lt;&gt;"",1,0)+IF(H47&lt;&gt;"",1,0)</x:f>
        <x:v>4</x:v>
      </x:c>
      <x:c r="J47" s="72" t="str">
        <x:f>IF(AND(E47&lt;&gt;F47,E47&lt;&gt;G47,E47&lt;&gt;H47,F47&lt;&gt;G47,F47&lt;&gt;H47,G47&lt;&gt;H47),"通过","有重复")</x:f>
        <x:v>通过</x:v>
      </x:c>
      <x:c r="K47" s="74" t="n">
        <x:v>0</x:v>
      </x:c>
      <x:c r="L47" s="72" t="str">
        <x:v>通过</x:v>
      </x:c>
      <x:c r="M47" s="72" t="str">
        <x:f>IF(AND(I47=4,J47="通过",K47&lt;=1,L47="通过"),"通过","需检查")</x:f>
        <x:v>通过</x:v>
      </x:c>
    </x:row>
    <x:row r="48" ht="52" customHeight="1">
      <x:c r="A48" s="72" t="str">
        <x:v>R045</x:v>
      </x:c>
      <x:c r="B48" s="72" t="str">
        <x:v>公共室外</x:v>
      </x:c>
      <x:c r="C48" s="72" t="str">
        <x:v>精力一般</x:v>
      </x:c>
      <x:c r="D48" s="72" t="str">
        <x:v>压力后</x:v>
      </x:c>
      <x:c r="E48" s="56" t="str">
        <x:v>侧向踏步
public-outdoor-side-step
总7=精4+情3</x:v>
      </x:c>
      <x:c r="F48" s="56" t="str">
        <x:v>前后点步
public-outdoor-forward-back-tap
总7=精4+情3</x:v>
      </x:c>
      <x:c r="G48" s="56" t="str">
        <x:v>慢走
public-outdoor-slow-walk
总5=精2+情3</x:v>
      </x:c>
      <x:c r="H48" s="56" t="str">
        <x:v>适度快走
public-outdoor-moderate-brisk-walk
总5=精2+情3</x:v>
      </x:c>
      <x:c r="I48" s="74" t="n">
        <x:f>IF(E48&lt;&gt;"",1,0)+IF(F48&lt;&gt;"",1,0)+IF(G48&lt;&gt;"",1,0)+IF(H48&lt;&gt;"",1,0)</x:f>
        <x:v>4</x:v>
      </x:c>
      <x:c r="J48" s="72" t="str">
        <x:f>IF(AND(E48&lt;&gt;F48,E48&lt;&gt;G48,E48&lt;&gt;H48,F48&lt;&gt;G48,F48&lt;&gt;H48,G48&lt;&gt;H48),"通过","有重复")</x:f>
        <x:v>通过</x:v>
      </x:c>
      <x:c r="K48" s="74" t="n">
        <x:v>0</x:v>
      </x:c>
      <x:c r="L48" s="72" t="str">
        <x:v>通过</x:v>
      </x:c>
      <x:c r="M48" s="72" t="str">
        <x:f>IF(AND(I48=4,J48="通过",K48&lt;=1,L48="通过"),"通过","需检查")</x:f>
        <x:v>通过</x:v>
      </x:c>
    </x:row>
    <x:row r="49" ht="52" customHeight="1">
      <x:c r="A49" s="72" t="str">
        <x:v>R046</x:v>
      </x:c>
      <x:c r="B49" s="72" t="str">
        <x:v>公共室外</x:v>
      </x:c>
      <x:c r="C49" s="72" t="str">
        <x:v>精力一般</x:v>
      </x:c>
      <x:c r="D49" s="72" t="str">
        <x:v>睡眠不足</x:v>
      </x:c>
      <x:c r="E49" s="56" t="str">
        <x:v>慢走
public-outdoor-slow-walk
总5=精2+情3</x:v>
      </x:c>
      <x:c r="F49" s="56" t="str">
        <x:v>前后点步
public-outdoor-forward-back-tap
总5=精4+情1</x:v>
      </x:c>
      <x:c r="G49" s="56" t="str">
        <x:v>侧向踏步
public-outdoor-side-step
总3=精4+情-1</x:v>
      </x:c>
      <x:c r="H49" s="56" t="str">
        <x:v>适度快走
public-outdoor-moderate-brisk-walk
总-1=精2+情-3</x:v>
      </x:c>
      <x:c r="I49" s="74" t="n">
        <x:f>IF(E49&lt;&gt;"",1,0)+IF(F49&lt;&gt;"",1,0)+IF(G49&lt;&gt;"",1,0)+IF(H49&lt;&gt;"",1,0)</x:f>
        <x:v>4</x:v>
      </x:c>
      <x:c r="J49" s="72" t="str">
        <x:f>IF(AND(E49&lt;&gt;F49,E49&lt;&gt;G49,E49&lt;&gt;H49,F49&lt;&gt;G49,F49&lt;&gt;H49,G49&lt;&gt;H49),"通过","有重复")</x:f>
        <x:v>通过</x:v>
      </x:c>
      <x:c r="K49" s="74" t="n">
        <x:v>0</x:v>
      </x:c>
      <x:c r="L49" s="72" t="str">
        <x:v>通过</x:v>
      </x:c>
      <x:c r="M49" s="72" t="str">
        <x:f>IF(AND(I49=4,J49="通过",K49&lt;=1,L49="通过"),"通过","需检查")</x:f>
        <x:v>通过</x:v>
      </x:c>
    </x:row>
    <x:row r="50" ht="52" customHeight="1">
      <x:c r="A50" s="72" t="str">
        <x:v>R047</x:v>
      </x:c>
      <x:c r="B50" s="72" t="str">
        <x:v>公共室外</x:v>
      </x:c>
      <x:c r="C50" s="72" t="str">
        <x:v>精力一般</x:v>
      </x:c>
      <x:c r="D50" s="72" t="str">
        <x:v>刚活动后</x:v>
      </x:c>
      <x:c r="E50" s="56" t="str">
        <x:v>慢走
public-outdoor-slow-walk
总5=精2+情3</x:v>
      </x:c>
      <x:c r="F50" s="56" t="str">
        <x:v>前后点步
public-outdoor-forward-back-tap
总5=精4+情1</x:v>
      </x:c>
      <x:c r="G50" s="56" t="str">
        <x:v>侧向踏步
public-outdoor-side-step
总3=精4+情-1</x:v>
      </x:c>
      <x:c r="H50" s="56" t="str">
        <x:v>适度快走
public-outdoor-moderate-brisk-walk
总-1=精2+情-3</x:v>
      </x:c>
      <x:c r="I50" s="74" t="n">
        <x:f>IF(E50&lt;&gt;"",1,0)+IF(F50&lt;&gt;"",1,0)+IF(G50&lt;&gt;"",1,0)+IF(H50&lt;&gt;"",1,0)</x:f>
        <x:v>4</x:v>
      </x:c>
      <x:c r="J50" s="72" t="str">
        <x:f>IF(AND(E50&lt;&gt;F50,E50&lt;&gt;G50,E50&lt;&gt;H50,F50&lt;&gt;G50,F50&lt;&gt;H50,G50&lt;&gt;H50),"通过","有重复")</x:f>
        <x:v>通过</x:v>
      </x:c>
      <x:c r="K50" s="74" t="n">
        <x:v>0</x:v>
      </x:c>
      <x:c r="L50" s="72" t="str">
        <x:v>通过</x:v>
      </x:c>
      <x:c r="M50" s="72" t="str">
        <x:f>IF(AND(I50=4,J50="通过",K50&lt;=1,L50="通过"),"通过","需检查")</x:f>
        <x:v>通过</x:v>
      </x:c>
    </x:row>
    <x:row r="51" ht="52" customHeight="1">
      <x:c r="A51" s="72" t="str">
        <x:v>R048</x:v>
      </x:c>
      <x:c r="B51" s="72" t="str">
        <x:v>公共室外</x:v>
      </x:c>
      <x:c r="C51" s="72" t="str">
        <x:v>精力一般</x:v>
      </x:c>
      <x:c r="D51" s="72" t="str">
        <x:v>无特殊情况</x:v>
      </x:c>
      <x:c r="E51" s="56" t="str">
        <x:v>侧向踏步
public-outdoor-side-step
总4=精4+情0</x:v>
      </x:c>
      <x:c r="F51" s="56" t="str">
        <x:v>前后点步
public-outdoor-forward-back-tap
总4=精4+情0</x:v>
      </x:c>
      <x:c r="G51" s="56" t="str">
        <x:v>慢走
public-outdoor-slow-walk
总2=精2+情0</x:v>
      </x:c>
      <x:c r="H51" s="56" t="str">
        <x:v>适度快走
public-outdoor-moderate-brisk-walk
总2=精2+情0</x:v>
      </x:c>
      <x:c r="I51" s="74" t="n">
        <x:f>IF(E51&lt;&gt;"",1,0)+IF(F51&lt;&gt;"",1,0)+IF(G51&lt;&gt;"",1,0)+IF(H51&lt;&gt;"",1,0)</x:f>
        <x:v>4</x:v>
      </x:c>
      <x:c r="J51" s="72" t="str">
        <x:f>IF(AND(E51&lt;&gt;F51,E51&lt;&gt;G51,E51&lt;&gt;H51,F51&lt;&gt;G51,F51&lt;&gt;H51,G51&lt;&gt;H51),"通过","有重复")</x:f>
        <x:v>通过</x:v>
      </x:c>
      <x:c r="K51" s="74" t="n">
        <x:v>0</x:v>
      </x:c>
      <x:c r="L51" s="72" t="str">
        <x:v>通过</x:v>
      </x:c>
      <x:c r="M51" s="72" t="str">
        <x:f>IF(AND(I51=4,J51="通过",K51&lt;=1,L51="通过"),"通过","需检查")</x:f>
        <x:v>通过</x:v>
      </x:c>
    </x:row>
    <x:row r="52" ht="52" customHeight="1">
      <x:c r="A52" s="75" t="str">
        <x:v>R049</x:v>
      </x:c>
      <x:c r="B52" s="75" t="str">
        <x:v>公共室外</x:v>
      </x:c>
      <x:c r="C52" s="75" t="str">
        <x:v>精力较好</x:v>
      </x:c>
      <x:c r="D52" s="75" t="str">
        <x:v>饭后</x:v>
      </x:c>
      <x:c r="E52" s="76" t="str">
        <x:v>适度快走
public-outdoor-moderate-brisk-walk
总5=精4+情1</x:v>
      </x:c>
      <x:c r="F52" s="76" t="str">
        <x:v>慢走
public-outdoor-slow-walk
总3=精0+情3</x:v>
      </x:c>
      <x:c r="G52" s="76" t="str">
        <x:v>侧向踏步
public-outdoor-side-step
总3=精2+情1</x:v>
      </x:c>
      <x:c r="H52" s="76" t="str">
        <x:v>开合步
public-outdoor-step-jack
总3=精4+情-1</x:v>
      </x:c>
      <x:c r="I52" s="77" t="n">
        <x:f>IF(E52&lt;&gt;"",1,0)+IF(F52&lt;&gt;"",1,0)+IF(G52&lt;&gt;"",1,0)+IF(H52&lt;&gt;"",1,0)</x:f>
        <x:v>4</x:v>
      </x:c>
      <x:c r="J52" s="75" t="str">
        <x:f>IF(AND(E52&lt;&gt;F52,E52&lt;&gt;G52,E52&lt;&gt;H52,F52&lt;&gt;G52,F52&lt;&gt;H52,G52&lt;&gt;H52),"通过","有重复")</x:f>
        <x:v>通过</x:v>
      </x:c>
      <x:c r="K52" s="77" t="n">
        <x:v>0</x:v>
      </x:c>
      <x:c r="L52" s="75" t="str">
        <x:v>通过</x:v>
      </x:c>
      <x:c r="M52" s="75" t="str">
        <x:f>IF(AND(I52=4,J52="通过",K52&lt;=1,L52="通过"),"通过","需检查")</x:f>
        <x:v>通过</x:v>
      </x:c>
    </x:row>
    <x:row r="53" ht="52" customHeight="1">
      <x:c r="A53" s="72" t="str">
        <x:v>R050</x:v>
      </x:c>
      <x:c r="B53" s="72" t="str">
        <x:v>公共室外</x:v>
      </x:c>
      <x:c r="C53" s="72" t="str">
        <x:v>精力较好</x:v>
      </x:c>
      <x:c r="D53" s="72" t="str">
        <x:v>久坐后</x:v>
      </x:c>
      <x:c r="E53" s="56" t="str">
        <x:v>开合步
public-outdoor-step-jack
总7=精4+情3</x:v>
      </x:c>
      <x:c r="F53" s="56" t="str">
        <x:v>适度快走
public-outdoor-moderate-brisk-walk
总5=精4+情1</x:v>
      </x:c>
      <x:c r="G53" s="56" t="str">
        <x:v>侧向踏步
public-outdoor-side-step
总5=精2+情3</x:v>
      </x:c>
      <x:c r="H53" s="56" t="str">
        <x:v>前后点步
public-outdoor-forward-back-tap
总5=精2+情3</x:v>
      </x:c>
      <x:c r="I53" s="74" t="n">
        <x:f>IF(E53&lt;&gt;"",1,0)+IF(F53&lt;&gt;"",1,0)+IF(G53&lt;&gt;"",1,0)+IF(H53&lt;&gt;"",1,0)</x:f>
        <x:v>4</x:v>
      </x:c>
      <x:c r="J53" s="72" t="str">
        <x:f>IF(AND(E53&lt;&gt;F53,E53&lt;&gt;G53,E53&lt;&gt;H53,F53&lt;&gt;G53,F53&lt;&gt;H53,G53&lt;&gt;H53),"通过","有重复")</x:f>
        <x:v>通过</x:v>
      </x:c>
      <x:c r="K53" s="74" t="n">
        <x:v>0</x:v>
      </x:c>
      <x:c r="L53" s="72" t="str">
        <x:v>通过</x:v>
      </x:c>
      <x:c r="M53" s="72" t="str">
        <x:f>IF(AND(I53=4,J53="通过",K53&lt;=1,L53="通过"),"通过","需检查")</x:f>
        <x:v>通过</x:v>
      </x:c>
    </x:row>
    <x:row r="54" ht="52" customHeight="1">
      <x:c r="A54" s="72" t="str">
        <x:v>R051</x:v>
      </x:c>
      <x:c r="B54" s="72" t="str">
        <x:v>公共室外</x:v>
      </x:c>
      <x:c r="C54" s="72" t="str">
        <x:v>精力较好</x:v>
      </x:c>
      <x:c r="D54" s="72" t="str">
        <x:v>压力后</x:v>
      </x:c>
      <x:c r="E54" s="56" t="str">
        <x:v>适度快走
public-outdoor-moderate-brisk-walk
总7=精4+情3</x:v>
      </x:c>
      <x:c r="F54" s="56" t="str">
        <x:v>开合步
public-outdoor-step-jack
总7=精4+情3</x:v>
      </x:c>
      <x:c r="G54" s="56" t="str">
        <x:v>侧向踏步
public-outdoor-side-step
总5=精2+情3</x:v>
      </x:c>
      <x:c r="H54" s="56" t="str">
        <x:v>前后点步
public-outdoor-forward-back-tap
总5=精2+情3</x:v>
      </x:c>
      <x:c r="I54" s="74" t="n">
        <x:f>IF(E54&lt;&gt;"",1,0)+IF(F54&lt;&gt;"",1,0)+IF(G54&lt;&gt;"",1,0)+IF(H54&lt;&gt;"",1,0)</x:f>
        <x:v>4</x:v>
      </x:c>
      <x:c r="J54" s="72" t="str">
        <x:f>IF(AND(E54&lt;&gt;F54,E54&lt;&gt;G54,E54&lt;&gt;H54,F54&lt;&gt;G54,F54&lt;&gt;H54,G54&lt;&gt;H54),"通过","有重复")</x:f>
        <x:v>通过</x:v>
      </x:c>
      <x:c r="K54" s="74" t="n">
        <x:v>0</x:v>
      </x:c>
      <x:c r="L54" s="72" t="str">
        <x:v>通过</x:v>
      </x:c>
      <x:c r="M54" s="72" t="str">
        <x:f>IF(AND(I54=4,J54="通过",K54&lt;=1,L54="通过"),"通过","需检查")</x:f>
        <x:v>通过</x:v>
      </x:c>
    </x:row>
    <x:row r="55" ht="52" customHeight="1">
      <x:c r="A55" s="72" t="str">
        <x:v>R052</x:v>
      </x:c>
      <x:c r="B55" s="72" t="str">
        <x:v>公共室外</x:v>
      </x:c>
      <x:c r="C55" s="72" t="str">
        <x:v>精力较好</x:v>
      </x:c>
      <x:c r="D55" s="72" t="str">
        <x:v>睡眠不足</x:v>
      </x:c>
      <x:c r="E55" s="56" t="str">
        <x:v>慢走
public-outdoor-slow-walk
总3=精0+情3</x:v>
      </x:c>
      <x:c r="F55" s="56" t="str">
        <x:v>前后点步
public-outdoor-forward-back-tap
总3=精2+情1</x:v>
      </x:c>
      <x:c r="G55" s="56" t="str">
        <x:v>适度快走
public-outdoor-moderate-brisk-walk
总1=精4+情-3</x:v>
      </x:c>
      <x:c r="H55" s="56" t="str">
        <x:v>侧向踏步
public-outdoor-side-step
总1=精2+情-1</x:v>
      </x:c>
      <x:c r="I55" s="74" t="n">
        <x:f>IF(E55&lt;&gt;"",1,0)+IF(F55&lt;&gt;"",1,0)+IF(G55&lt;&gt;"",1,0)+IF(H55&lt;&gt;"",1,0)</x:f>
        <x:v>4</x:v>
      </x:c>
      <x:c r="J55" s="72" t="str">
        <x:f>IF(AND(E55&lt;&gt;F55,E55&lt;&gt;G55,E55&lt;&gt;H55,F55&lt;&gt;G55,F55&lt;&gt;H55,G55&lt;&gt;H55),"通过","有重复")</x:f>
        <x:v>通过</x:v>
      </x:c>
      <x:c r="K55" s="74" t="n">
        <x:v>0</x:v>
      </x:c>
      <x:c r="L55" s="72" t="str">
        <x:v>通过</x:v>
      </x:c>
      <x:c r="M55" s="72" t="str">
        <x:f>IF(AND(I55=4,J55="通过",K55&lt;=1,L55="通过"),"通过","需检查")</x:f>
        <x:v>通过</x:v>
      </x:c>
    </x:row>
    <x:row r="56" ht="52" customHeight="1">
      <x:c r="A56" s="72" t="str">
        <x:v>R053</x:v>
      </x:c>
      <x:c r="B56" s="72" t="str">
        <x:v>公共室外</x:v>
      </x:c>
      <x:c r="C56" s="72" t="str">
        <x:v>精力较好</x:v>
      </x:c>
      <x:c r="D56" s="72" t="str">
        <x:v>刚活动后</x:v>
      </x:c>
      <x:c r="E56" s="56" t="str">
        <x:v>慢走
public-outdoor-slow-walk
总3=精0+情3</x:v>
      </x:c>
      <x:c r="F56" s="56" t="str">
        <x:v>前后点步
public-outdoor-forward-back-tap
总3=精2+情1</x:v>
      </x:c>
      <x:c r="G56" s="56" t="str">
        <x:v>适度快走
public-outdoor-moderate-brisk-walk
总1=精4+情-3</x:v>
      </x:c>
      <x:c r="H56" s="56" t="str">
        <x:v>侧向踏步
public-outdoor-side-step
总1=精2+情-1</x:v>
      </x:c>
      <x:c r="I56" s="74" t="n">
        <x:f>IF(E56&lt;&gt;"",1,0)+IF(F56&lt;&gt;"",1,0)+IF(G56&lt;&gt;"",1,0)+IF(H56&lt;&gt;"",1,0)</x:f>
        <x:v>4</x:v>
      </x:c>
      <x:c r="J56" s="72" t="str">
        <x:f>IF(AND(E56&lt;&gt;F56,E56&lt;&gt;G56,E56&lt;&gt;H56,F56&lt;&gt;G56,F56&lt;&gt;H56,G56&lt;&gt;H56),"通过","有重复")</x:f>
        <x:v>通过</x:v>
      </x:c>
      <x:c r="K56" s="74" t="n">
        <x:v>0</x:v>
      </x:c>
      <x:c r="L56" s="72" t="str">
        <x:v>通过</x:v>
      </x:c>
      <x:c r="M56" s="72" t="str">
        <x:f>IF(AND(I56=4,J56="通过",K56&lt;=1,L56="通过"),"通过","需检查")</x:f>
        <x:v>通过</x:v>
      </x:c>
    </x:row>
    <x:row r="57" ht="52" customHeight="1">
      <x:c r="A57" s="72" t="str">
        <x:v>R054</x:v>
      </x:c>
      <x:c r="B57" s="72" t="str">
        <x:v>公共室外</x:v>
      </x:c>
      <x:c r="C57" s="72" t="str">
        <x:v>精力较好</x:v>
      </x:c>
      <x:c r="D57" s="72" t="str">
        <x:v>无特殊情况</x:v>
      </x:c>
      <x:c r="E57" s="56" t="str">
        <x:v>适度快走
public-outdoor-moderate-brisk-walk
总4=精4+情0</x:v>
      </x:c>
      <x:c r="F57" s="56" t="str">
        <x:v>开合步
public-outdoor-step-jack
总4=精4+情0</x:v>
      </x:c>
      <x:c r="G57" s="56" t="str">
        <x:v>低台阶踏步
public-outdoor-low-step-up
总4=精4+情0</x:v>
      </x:c>
      <x:c r="H57" s="56" t="str">
        <x:v>侧向踏步
public-outdoor-side-step
总2=精2+情0</x:v>
      </x:c>
      <x:c r="I57" s="74" t="n">
        <x:f>IF(E57&lt;&gt;"",1,0)+IF(F57&lt;&gt;"",1,0)+IF(G57&lt;&gt;"",1,0)+IF(H57&lt;&gt;"",1,0)</x:f>
        <x:v>4</x:v>
      </x:c>
      <x:c r="J57" s="72" t="str">
        <x:f>IF(AND(E57&lt;&gt;F57,E57&lt;&gt;G57,E57&lt;&gt;H57,F57&lt;&gt;G57,F57&lt;&gt;H57,G57&lt;&gt;H57),"通过","有重复")</x:f>
        <x:v>通过</x:v>
      </x:c>
      <x:c r="K57" s="74" t="n">
        <x:v>0</x:v>
      </x:c>
      <x:c r="L57" s="72" t="str">
        <x:v>通过</x:v>
      </x:c>
      <x:c r="M57" s="72" t="str">
        <x:f>IF(AND(I57=4,J57="通过",K57&lt;=1,L57="通过"),"通过","需检查")</x:f>
        <x:v>通过</x:v>
      </x:c>
    </x:row>
    <x:row r="58" ht="52" customHeight="1">
      <x:c r="A58" s="75" t="str">
        <x:v>R055</x:v>
      </x:c>
      <x:c r="B58" s="75" t="str">
        <x:v>私人／开放室外</x:v>
      </x:c>
      <x:c r="C58" s="75" t="str">
        <x:v>精力低</x:v>
      </x:c>
      <x:c r="D58" s="75" t="str">
        <x:v>饭后</x:v>
      </x:c>
      <x:c r="E58" s="76" t="str">
        <x:v>扶墙后抬腿
private-open-outdoor-supported-back-leg-raise
总3=精4+情-1</x:v>
      </x:c>
      <x:c r="F58" s="76" t="str">
        <x:v>适度快走
private-open-outdoor-moderate-brisk-walk
总1=精0+情1</x:v>
      </x:c>
      <x:c r="G58" s="76" t="str">
        <x:v>浅蹲
private-open-outdoor-shallow-squat
总1=精2+情-1</x:v>
      </x:c>
      <x:c r="H58" s="76" t="str">
        <x:v>靠墙俯卧撑
private-open-outdoor-wall-push-up
总1=精2+情-1</x:v>
      </x:c>
      <x:c r="I58" s="77" t="n">
        <x:f>IF(E58&lt;&gt;"",1,0)+IF(F58&lt;&gt;"",1,0)+IF(G58&lt;&gt;"",1,0)+IF(H58&lt;&gt;"",1,0)</x:f>
        <x:v>4</x:v>
      </x:c>
      <x:c r="J58" s="75" t="str">
        <x:f>IF(AND(E58&lt;&gt;F58,E58&lt;&gt;G58,E58&lt;&gt;H58,F58&lt;&gt;G58,F58&lt;&gt;H58,G58&lt;&gt;H58),"通过","有重复")</x:f>
        <x:v>通过</x:v>
      </x:c>
      <x:c r="K58" s="77" t="n">
        <x:v>0</x:v>
      </x:c>
      <x:c r="L58" s="75" t="str">
        <x:v>通过</x:v>
      </x:c>
      <x:c r="M58" s="75" t="str">
        <x:f>IF(AND(I58=4,J58="通过",K58&lt;=1,L58="通过"),"通过","需检查")</x:f>
        <x:v>通过</x:v>
      </x:c>
    </x:row>
    <x:row r="59" ht="52" customHeight="1">
      <x:c r="A59" s="72" t="str">
        <x:v>R056</x:v>
      </x:c>
      <x:c r="B59" s="72" t="str">
        <x:v>私人／开放室外</x:v>
      </x:c>
      <x:c r="C59" s="72" t="str">
        <x:v>精力低</x:v>
      </x:c>
      <x:c r="D59" s="72" t="str">
        <x:v>久坐后</x:v>
      </x:c>
      <x:c r="E59" s="56" t="str">
        <x:v>扶墙后抬腿
private-open-outdoor-supported-back-leg-raise
总7=精4+情3</x:v>
      </x:c>
      <x:c r="F59" s="56" t="str">
        <x:v>浅蹲
private-open-outdoor-shallow-squat
总5=精2+情3</x:v>
      </x:c>
      <x:c r="G59" s="56" t="str">
        <x:v>靠墙俯卧撑
private-open-outdoor-wall-push-up
总3=精2+情1</x:v>
      </x:c>
      <x:c r="H59" s="56" t="str">
        <x:v>适度快走
private-open-outdoor-moderate-brisk-walk
总1=精0+情1</x:v>
      </x:c>
      <x:c r="I59" s="74" t="n">
        <x:f>IF(E59&lt;&gt;"",1,0)+IF(F59&lt;&gt;"",1,0)+IF(G59&lt;&gt;"",1,0)+IF(H59&lt;&gt;"",1,0)</x:f>
        <x:v>4</x:v>
      </x:c>
      <x:c r="J59" s="72" t="str">
        <x:f>IF(AND(E59&lt;&gt;F59,E59&lt;&gt;G59,E59&lt;&gt;H59,F59&lt;&gt;G59,F59&lt;&gt;H59,G59&lt;&gt;H59),"通过","有重复")</x:f>
        <x:v>通过</x:v>
      </x:c>
      <x:c r="K59" s="74" t="n">
        <x:v>0</x:v>
      </x:c>
      <x:c r="L59" s="72" t="str">
        <x:v>通过</x:v>
      </x:c>
      <x:c r="M59" s="72" t="str">
        <x:f>IF(AND(I59=4,J59="通过",K59&lt;=1,L59="通过"),"通过","需检查")</x:f>
        <x:v>通过</x:v>
      </x:c>
    </x:row>
    <x:row r="60" ht="52" customHeight="1">
      <x:c r="A60" s="72" t="str">
        <x:v>R057</x:v>
      </x:c>
      <x:c r="B60" s="72" t="str">
        <x:v>私人／开放室外</x:v>
      </x:c>
      <x:c r="C60" s="72" t="str">
        <x:v>精力低</x:v>
      </x:c>
      <x:c r="D60" s="72" t="str">
        <x:v>压力后</x:v>
      </x:c>
      <x:c r="E60" s="56" t="str">
        <x:v>扶墙后抬腿
private-open-outdoor-supported-back-leg-raise
总5=精4+情1</x:v>
      </x:c>
      <x:c r="F60" s="56" t="str">
        <x:v>适度快走
private-open-outdoor-moderate-brisk-walk
总3=精0+情3</x:v>
      </x:c>
      <x:c r="G60" s="56" t="str">
        <x:v>浅蹲
private-open-outdoor-shallow-squat
总1=精2+情-1</x:v>
      </x:c>
      <x:c r="H60" s="56" t="str">
        <x:v>靠墙俯卧撑
private-open-outdoor-wall-push-up
总1=精2+情-1</x:v>
      </x:c>
      <x:c r="I60" s="74" t="n">
        <x:f>IF(E60&lt;&gt;"",1,0)+IF(F60&lt;&gt;"",1,0)+IF(G60&lt;&gt;"",1,0)+IF(H60&lt;&gt;"",1,0)</x:f>
        <x:v>4</x:v>
      </x:c>
      <x:c r="J60" s="72" t="str">
        <x:f>IF(AND(E60&lt;&gt;F60,E60&lt;&gt;G60,E60&lt;&gt;H60,F60&lt;&gt;G60,F60&lt;&gt;H60,G60&lt;&gt;H60),"通过","有重复")</x:f>
        <x:v>通过</x:v>
      </x:c>
      <x:c r="K60" s="74" t="n">
        <x:v>0</x:v>
      </x:c>
      <x:c r="L60" s="72" t="str">
        <x:v>通过</x:v>
      </x:c>
      <x:c r="M60" s="72" t="str">
        <x:f>IF(AND(I60=4,J60="通过",K60&lt;=1,L60="通过"),"通过","需检查")</x:f>
        <x:v>通过</x:v>
      </x:c>
    </x:row>
    <x:row r="61" ht="52" customHeight="1">
      <x:c r="A61" s="72" t="str">
        <x:v>R058</x:v>
      </x:c>
      <x:c r="B61" s="72" t="str">
        <x:v>私人／开放室外</x:v>
      </x:c>
      <x:c r="C61" s="72" t="str">
        <x:v>精力低</x:v>
      </x:c>
      <x:c r="D61" s="72" t="str">
        <x:v>睡眠不足</x:v>
      </x:c>
      <x:c r="E61" s="56" t="str">
        <x:v>扶墙后抬腿
private-open-outdoor-supported-back-leg-raise
总7=精4+情3</x:v>
      </x:c>
      <x:c r="F61" s="56" t="str">
        <x:v>靠墙俯卧撑
private-open-outdoor-wall-push-up
总3=精2+情1</x:v>
      </x:c>
      <x:c r="G61" s="56" t="str">
        <x:v>浅蹲
private-open-outdoor-shallow-squat
总1=精2+情-1</x:v>
      </x:c>
      <x:c r="H61" s="56" t="str">
        <x:v>适度快走
private-open-outdoor-moderate-brisk-walk
总-3=精0+情-3</x:v>
      </x:c>
      <x:c r="I61" s="74" t="n">
        <x:f>IF(E61&lt;&gt;"",1,0)+IF(F61&lt;&gt;"",1,0)+IF(G61&lt;&gt;"",1,0)+IF(H61&lt;&gt;"",1,0)</x:f>
        <x:v>4</x:v>
      </x:c>
      <x:c r="J61" s="72" t="str">
        <x:f>IF(AND(E61&lt;&gt;F61,E61&lt;&gt;G61,E61&lt;&gt;H61,F61&lt;&gt;G61,F61&lt;&gt;H61,G61&lt;&gt;H61),"通过","有重复")</x:f>
        <x:v>通过</x:v>
      </x:c>
      <x:c r="K61" s="74" t="n">
        <x:v>0</x:v>
      </x:c>
      <x:c r="L61" s="72" t="str">
        <x:v>通过</x:v>
      </x:c>
      <x:c r="M61" s="72" t="str">
        <x:f>IF(AND(I61=4,J61="通过",K61&lt;=1,L61="通过"),"通过","需检查")</x:f>
        <x:v>通过</x:v>
      </x:c>
    </x:row>
    <x:row r="62" ht="52" customHeight="1">
      <x:c r="A62" s="72" t="str">
        <x:v>R059</x:v>
      </x:c>
      <x:c r="B62" s="72" t="str">
        <x:v>私人／开放室外</x:v>
      </x:c>
      <x:c r="C62" s="72" t="str">
        <x:v>精力低</x:v>
      </x:c>
      <x:c r="D62" s="72" t="str">
        <x:v>刚活动后</x:v>
      </x:c>
      <x:c r="E62" s="56" t="str">
        <x:v>扶墙后抬腿
private-open-outdoor-supported-back-leg-raise
总5=精4+情1</x:v>
      </x:c>
      <x:c r="F62" s="56" t="str">
        <x:v>靠墙俯卧撑
private-open-outdoor-wall-push-up
总3=精2+情1</x:v>
      </x:c>
      <x:c r="G62" s="56" t="str">
        <x:v>浅蹲
private-open-outdoor-shallow-squat
总1=精2+情-1</x:v>
      </x:c>
      <x:c r="H62" s="56" t="str">
        <x:v>适度快走
private-open-outdoor-moderate-brisk-walk
总-3=精0+情-3</x:v>
      </x:c>
      <x:c r="I62" s="74" t="n">
        <x:f>IF(E62&lt;&gt;"",1,0)+IF(F62&lt;&gt;"",1,0)+IF(G62&lt;&gt;"",1,0)+IF(H62&lt;&gt;"",1,0)</x:f>
        <x:v>4</x:v>
      </x:c>
      <x:c r="J62" s="72" t="str">
        <x:f>IF(AND(E62&lt;&gt;F62,E62&lt;&gt;G62,E62&lt;&gt;H62,F62&lt;&gt;G62,F62&lt;&gt;H62,G62&lt;&gt;H62),"通过","有重复")</x:f>
        <x:v>通过</x:v>
      </x:c>
      <x:c r="K62" s="74" t="n">
        <x:v>0</x:v>
      </x:c>
      <x:c r="L62" s="72" t="str">
        <x:v>通过</x:v>
      </x:c>
      <x:c r="M62" s="72" t="str">
        <x:f>IF(AND(I62=4,J62="通过",K62&lt;=1,L62="通过"),"通过","需检查")</x:f>
        <x:v>通过</x:v>
      </x:c>
    </x:row>
    <x:row r="63" ht="52" customHeight="1">
      <x:c r="A63" s="72" t="str">
        <x:v>R060</x:v>
      </x:c>
      <x:c r="B63" s="72" t="str">
        <x:v>私人／开放室外</x:v>
      </x:c>
      <x:c r="C63" s="72" t="str">
        <x:v>精力低</x:v>
      </x:c>
      <x:c r="D63" s="72" t="str">
        <x:v>无特殊情况</x:v>
      </x:c>
      <x:c r="E63" s="56" t="str">
        <x:v>扶墙后抬腿
private-open-outdoor-supported-back-leg-raise
总4=精4+情0</x:v>
      </x:c>
      <x:c r="F63" s="56" t="str">
        <x:v>浅蹲
private-open-outdoor-shallow-squat
总2=精2+情0</x:v>
      </x:c>
      <x:c r="G63" s="56" t="str">
        <x:v>靠墙俯卧撑
private-open-outdoor-wall-push-up
总2=精2+情0</x:v>
      </x:c>
      <x:c r="H63" s="56" t="str">
        <x:v>适度快走
private-open-outdoor-moderate-brisk-walk
总0=精0+情0</x:v>
      </x:c>
      <x:c r="I63" s="74" t="n">
        <x:f>IF(E63&lt;&gt;"",1,0)+IF(F63&lt;&gt;"",1,0)+IF(G63&lt;&gt;"",1,0)+IF(H63&lt;&gt;"",1,0)</x:f>
        <x:v>4</x:v>
      </x:c>
      <x:c r="J63" s="72" t="str">
        <x:f>IF(AND(E63&lt;&gt;F63,E63&lt;&gt;G63,E63&lt;&gt;H63,F63&lt;&gt;G63,F63&lt;&gt;H63,G63&lt;&gt;H63),"通过","有重复")</x:f>
        <x:v>通过</x:v>
      </x:c>
      <x:c r="K63" s="74" t="n">
        <x:v>0</x:v>
      </x:c>
      <x:c r="L63" s="72" t="str">
        <x:v>通过</x:v>
      </x:c>
      <x:c r="M63" s="72" t="str">
        <x:f>IF(AND(I63=4,J63="通过",K63&lt;=1,L63="通过"),"通过","需检查")</x:f>
        <x:v>通过</x:v>
      </x:c>
    </x:row>
    <x:row r="64" ht="52" customHeight="1">
      <x:c r="A64" s="75" t="str">
        <x:v>R061</x:v>
      </x:c>
      <x:c r="B64" s="75" t="str">
        <x:v>私人／开放室外</x:v>
      </x:c>
      <x:c r="C64" s="75" t="str">
        <x:v>精力一般</x:v>
      </x:c>
      <x:c r="D64" s="75" t="str">
        <x:v>饭后</x:v>
      </x:c>
      <x:c r="E64" s="76" t="str">
        <x:v>适度快走
private-open-outdoor-moderate-brisk-walk
总3=精2+情1</x:v>
      </x:c>
      <x:c r="F64" s="76" t="str">
        <x:v>浅蹲
private-open-outdoor-shallow-squat
总3=精4+情-1</x:v>
      </x:c>
      <x:c r="G64" s="76" t="str">
        <x:v>靠墙俯卧撑
private-open-outdoor-wall-push-up
总3=精4+情-1</x:v>
      </x:c>
      <x:c r="H64" s="76" t="str">
        <x:v>扶墙后抬腿
private-open-outdoor-supported-back-leg-raise
总1=精2+情-1</x:v>
      </x:c>
      <x:c r="I64" s="77" t="n">
        <x:f>IF(E64&lt;&gt;"",1,0)+IF(F64&lt;&gt;"",1,0)+IF(G64&lt;&gt;"",1,0)+IF(H64&lt;&gt;"",1,0)</x:f>
        <x:v>4</x:v>
      </x:c>
      <x:c r="J64" s="75" t="str">
        <x:f>IF(AND(E64&lt;&gt;F64,E64&lt;&gt;G64,E64&lt;&gt;H64,F64&lt;&gt;G64,F64&lt;&gt;H64,G64&lt;&gt;H64),"通过","有重复")</x:f>
        <x:v>通过</x:v>
      </x:c>
      <x:c r="K64" s="77" t="n">
        <x:v>0</x:v>
      </x:c>
      <x:c r="L64" s="75" t="str">
        <x:v>通过</x:v>
      </x:c>
      <x:c r="M64" s="75" t="str">
        <x:f>IF(AND(I64=4,J64="通过",K64&lt;=1,L64="通过"),"通过","需检查")</x:f>
        <x:v>通过</x:v>
      </x:c>
    </x:row>
    <x:row r="65" ht="52" customHeight="1">
      <x:c r="A65" s="72" t="str">
        <x:v>R062</x:v>
      </x:c>
      <x:c r="B65" s="72" t="str">
        <x:v>私人／开放室外</x:v>
      </x:c>
      <x:c r="C65" s="72" t="str">
        <x:v>精力一般</x:v>
      </x:c>
      <x:c r="D65" s="72" t="str">
        <x:v>久坐后</x:v>
      </x:c>
      <x:c r="E65" s="56" t="str">
        <x:v>浅蹲
private-open-outdoor-shallow-squat
总7=精4+情3</x:v>
      </x:c>
      <x:c r="F65" s="56" t="str">
        <x:v>靠墙俯卧撑
private-open-outdoor-wall-push-up
总5=精4+情1</x:v>
      </x:c>
      <x:c r="G65" s="56" t="str">
        <x:v>扶墙后抬腿
private-open-outdoor-supported-back-leg-raise
总5=精2+情3</x:v>
      </x:c>
      <x:c r="H65" s="56" t="str">
        <x:v>适度快走
private-open-outdoor-moderate-brisk-walk
总3=精2+情1</x:v>
      </x:c>
      <x:c r="I65" s="74" t="n">
        <x:f>IF(E65&lt;&gt;"",1,0)+IF(F65&lt;&gt;"",1,0)+IF(G65&lt;&gt;"",1,0)+IF(H65&lt;&gt;"",1,0)</x:f>
        <x:v>4</x:v>
      </x:c>
      <x:c r="J65" s="72" t="str">
        <x:f>IF(AND(E65&lt;&gt;F65,E65&lt;&gt;G65,E65&lt;&gt;H65,F65&lt;&gt;G65,F65&lt;&gt;H65,G65&lt;&gt;H65),"通过","有重复")</x:f>
        <x:v>通过</x:v>
      </x:c>
      <x:c r="K65" s="74" t="n">
        <x:v>0</x:v>
      </x:c>
      <x:c r="L65" s="72" t="str">
        <x:v>通过</x:v>
      </x:c>
      <x:c r="M65" s="72" t="str">
        <x:f>IF(AND(I65=4,J65="通过",K65&lt;=1,L65="通过"),"通过","需检查")</x:f>
        <x:v>通过</x:v>
      </x:c>
    </x:row>
    <x:row r="66" ht="52" customHeight="1">
      <x:c r="A66" s="72" t="str">
        <x:v>R063</x:v>
      </x:c>
      <x:c r="B66" s="72" t="str">
        <x:v>私人／开放室外</x:v>
      </x:c>
      <x:c r="C66" s="72" t="str">
        <x:v>精力一般</x:v>
      </x:c>
      <x:c r="D66" s="72" t="str">
        <x:v>压力后</x:v>
      </x:c>
      <x:c r="E66" s="56" t="str">
        <x:v>适度快走
private-open-outdoor-moderate-brisk-walk
总5=精2+情3</x:v>
      </x:c>
      <x:c r="F66" s="56" t="str">
        <x:v>浅蹲
private-open-outdoor-shallow-squat
总3=精4+情-1</x:v>
      </x:c>
      <x:c r="G66" s="56" t="str">
        <x:v>靠墙俯卧撑
private-open-outdoor-wall-push-up
总3=精4+情-1</x:v>
      </x:c>
      <x:c r="H66" s="56" t="str">
        <x:v>扶墙后抬腿
private-open-outdoor-supported-back-leg-raise
总3=精2+情1</x:v>
      </x:c>
      <x:c r="I66" s="74" t="n">
        <x:f>IF(E66&lt;&gt;"",1,0)+IF(F66&lt;&gt;"",1,0)+IF(G66&lt;&gt;"",1,0)+IF(H66&lt;&gt;"",1,0)</x:f>
        <x:v>4</x:v>
      </x:c>
      <x:c r="J66" s="72" t="str">
        <x:f>IF(AND(E66&lt;&gt;F66,E66&lt;&gt;G66,E66&lt;&gt;H66,F66&lt;&gt;G66,F66&lt;&gt;H66,G66&lt;&gt;H66),"通过","有重复")</x:f>
        <x:v>通过</x:v>
      </x:c>
      <x:c r="K66" s="74" t="n">
        <x:v>0</x:v>
      </x:c>
      <x:c r="L66" s="72" t="str">
        <x:v>通过</x:v>
      </x:c>
      <x:c r="M66" s="72" t="str">
        <x:f>IF(AND(I66=4,J66="通过",K66&lt;=1,L66="通过"),"通过","需检查")</x:f>
        <x:v>通过</x:v>
      </x:c>
    </x:row>
    <x:row r="67" ht="52" customHeight="1">
      <x:c r="A67" s="72" t="str">
        <x:v>R064</x:v>
      </x:c>
      <x:c r="B67" s="72" t="str">
        <x:v>私人／开放室外</x:v>
      </x:c>
      <x:c r="C67" s="72" t="str">
        <x:v>精力一般</x:v>
      </x:c>
      <x:c r="D67" s="72" t="str">
        <x:v>睡眠不足</x:v>
      </x:c>
      <x:c r="E67" s="56" t="str">
        <x:v>靠墙俯卧撑
private-open-outdoor-wall-push-up
总5=精4+情1</x:v>
      </x:c>
      <x:c r="F67" s="56" t="str">
        <x:v>扶墙后抬腿
private-open-outdoor-supported-back-leg-raise
总5=精2+情3</x:v>
      </x:c>
      <x:c r="G67" s="56" t="str">
        <x:v>浅蹲
private-open-outdoor-shallow-squat
总3=精4+情-1</x:v>
      </x:c>
      <x:c r="H67" s="56" t="str">
        <x:v>适度快走
private-open-outdoor-moderate-brisk-walk
总-1=精2+情-3</x:v>
      </x:c>
      <x:c r="I67" s="74" t="n">
        <x:f>IF(E67&lt;&gt;"",1,0)+IF(F67&lt;&gt;"",1,0)+IF(G67&lt;&gt;"",1,0)+IF(H67&lt;&gt;"",1,0)</x:f>
        <x:v>4</x:v>
      </x:c>
      <x:c r="J67" s="72" t="str">
        <x:f>IF(AND(E67&lt;&gt;F67,E67&lt;&gt;G67,E67&lt;&gt;H67,F67&lt;&gt;G67,F67&lt;&gt;H67,G67&lt;&gt;H67),"通过","有重复")</x:f>
        <x:v>通过</x:v>
      </x:c>
      <x:c r="K67" s="74" t="n">
        <x:v>0</x:v>
      </x:c>
      <x:c r="L67" s="72" t="str">
        <x:v>通过</x:v>
      </x:c>
      <x:c r="M67" s="72" t="str">
        <x:f>IF(AND(I67=4,J67="通过",K67&lt;=1,L67="通过"),"通过","需检查")</x:f>
        <x:v>通过</x:v>
      </x:c>
    </x:row>
    <x:row r="68" ht="52" customHeight="1">
      <x:c r="A68" s="72" t="str">
        <x:v>R065</x:v>
      </x:c>
      <x:c r="B68" s="72" t="str">
        <x:v>私人／开放室外</x:v>
      </x:c>
      <x:c r="C68" s="72" t="str">
        <x:v>精力一般</x:v>
      </x:c>
      <x:c r="D68" s="72" t="str">
        <x:v>刚活动后</x:v>
      </x:c>
      <x:c r="E68" s="56" t="str">
        <x:v>靠墙俯卧撑
private-open-outdoor-wall-push-up
总5=精4+情1</x:v>
      </x:c>
      <x:c r="F68" s="56" t="str">
        <x:v>浅蹲
private-open-outdoor-shallow-squat
总3=精4+情-1</x:v>
      </x:c>
      <x:c r="G68" s="56" t="str">
        <x:v>扶墙后抬腿
private-open-outdoor-supported-back-leg-raise
总3=精2+情1</x:v>
      </x:c>
      <x:c r="H68" s="56" t="str">
        <x:v>适度快走
private-open-outdoor-moderate-brisk-walk
总-1=精2+情-3</x:v>
      </x:c>
      <x:c r="I68" s="74" t="n">
        <x:f>IF(E68&lt;&gt;"",1,0)+IF(F68&lt;&gt;"",1,0)+IF(G68&lt;&gt;"",1,0)+IF(H68&lt;&gt;"",1,0)</x:f>
        <x:v>4</x:v>
      </x:c>
      <x:c r="J68" s="72" t="str">
        <x:f>IF(AND(E68&lt;&gt;F68,E68&lt;&gt;G68,E68&lt;&gt;H68,F68&lt;&gt;G68,F68&lt;&gt;H68,G68&lt;&gt;H68),"通过","有重复")</x:f>
        <x:v>通过</x:v>
      </x:c>
      <x:c r="K68" s="74" t="n">
        <x:v>0</x:v>
      </x:c>
      <x:c r="L68" s="72" t="str">
        <x:v>通过</x:v>
      </x:c>
      <x:c r="M68" s="72" t="str">
        <x:f>IF(AND(I68=4,J68="通过",K68&lt;=1,L68="通过"),"通过","需检查")</x:f>
        <x:v>通过</x:v>
      </x:c>
    </x:row>
    <x:row r="69" ht="52" customHeight="1">
      <x:c r="A69" s="72" t="str">
        <x:v>R066</x:v>
      </x:c>
      <x:c r="B69" s="72" t="str">
        <x:v>私人／开放室外</x:v>
      </x:c>
      <x:c r="C69" s="72" t="str">
        <x:v>精力一般</x:v>
      </x:c>
      <x:c r="D69" s="72" t="str">
        <x:v>无特殊情况</x:v>
      </x:c>
      <x:c r="E69" s="56" t="str">
        <x:v>浅蹲
private-open-outdoor-shallow-squat
总4=精4+情0</x:v>
      </x:c>
      <x:c r="F69" s="56" t="str">
        <x:v>靠墙俯卧撑
private-open-outdoor-wall-push-up
总4=精4+情0</x:v>
      </x:c>
      <x:c r="G69" s="56" t="str">
        <x:v>适度快走
private-open-outdoor-moderate-brisk-walk
总2=精2+情0</x:v>
      </x:c>
      <x:c r="H69" s="56" t="str">
        <x:v>靠墙静蹲
private-open-outdoor-wall-sit
总2=精2+情0</x:v>
      </x:c>
      <x:c r="I69" s="74" t="n">
        <x:f>IF(E69&lt;&gt;"",1,0)+IF(F69&lt;&gt;"",1,0)+IF(G69&lt;&gt;"",1,0)+IF(H69&lt;&gt;"",1,0)</x:f>
        <x:v>4</x:v>
      </x:c>
      <x:c r="J69" s="72" t="str">
        <x:f>IF(AND(E69&lt;&gt;F69,E69&lt;&gt;G69,E69&lt;&gt;H69,F69&lt;&gt;G69,F69&lt;&gt;H69,G69&lt;&gt;H69),"通过","有重复")</x:f>
        <x:v>通过</x:v>
      </x:c>
      <x:c r="K69" s="74" t="n">
        <x:v>1</x:v>
      </x:c>
      <x:c r="L69" s="72" t="str">
        <x:v>通过</x:v>
      </x:c>
      <x:c r="M69" s="72" t="str">
        <x:f>IF(AND(I69=4,J69="通过",K69&lt;=1,L69="通过"),"通过","需检查")</x:f>
        <x:v>通过</x:v>
      </x:c>
    </x:row>
    <x:row r="70" ht="52" customHeight="1">
      <x:c r="A70" s="75" t="str">
        <x:v>R067</x:v>
      </x:c>
      <x:c r="B70" s="75" t="str">
        <x:v>私人／开放室外</x:v>
      </x:c>
      <x:c r="C70" s="75" t="str">
        <x:v>精力较好</x:v>
      </x:c>
      <x:c r="D70" s="75" t="str">
        <x:v>饭后</x:v>
      </x:c>
      <x:c r="E70" s="76" t="str">
        <x:v>适度快走
private-open-outdoor-moderate-brisk-walk
总5=精4+情1</x:v>
      </x:c>
      <x:c r="F70" s="76" t="str">
        <x:v>浅蹲
private-open-outdoor-shallow-squat
总1=精2+情-1</x:v>
      </x:c>
      <x:c r="G70" s="76" t="str">
        <x:v>靠墙俯卧撑
private-open-outdoor-wall-push-up
总1=精2+情-1</x:v>
      </x:c>
      <x:c r="H70" s="76" t="str">
        <x:v>靠墙静蹲
private-open-outdoor-wall-sit
总1=精4+情-3</x:v>
      </x:c>
      <x:c r="I70" s="77" t="n">
        <x:f>IF(E70&lt;&gt;"",1,0)+IF(F70&lt;&gt;"",1,0)+IF(G70&lt;&gt;"",1,0)+IF(H70&lt;&gt;"",1,0)</x:f>
        <x:v>4</x:v>
      </x:c>
      <x:c r="J70" s="75" t="str">
        <x:f>IF(AND(E70&lt;&gt;F70,E70&lt;&gt;G70,E70&lt;&gt;H70,F70&lt;&gt;G70,F70&lt;&gt;H70,G70&lt;&gt;H70),"通过","有重复")</x:f>
        <x:v>通过</x:v>
      </x:c>
      <x:c r="K70" s="77" t="n">
        <x:v>1</x:v>
      </x:c>
      <x:c r="L70" s="75" t="str">
        <x:v>通过</x:v>
      </x:c>
      <x:c r="M70" s="75" t="str">
        <x:f>IF(AND(I70=4,J70="通过",K70&lt;=1,L70="通过"),"通过","需检查")</x:f>
        <x:v>通过</x:v>
      </x:c>
    </x:row>
    <x:row r="71" ht="52" customHeight="1">
      <x:c r="A71" s="72" t="str">
        <x:v>R068</x:v>
      </x:c>
      <x:c r="B71" s="72" t="str">
        <x:v>私人／开放室外</x:v>
      </x:c>
      <x:c r="C71" s="72" t="str">
        <x:v>精力较好</x:v>
      </x:c>
      <x:c r="D71" s="72" t="str">
        <x:v>久坐后</x:v>
      </x:c>
      <x:c r="E71" s="56" t="str">
        <x:v>适度快走
private-open-outdoor-moderate-brisk-walk
总5=精4+情1</x:v>
      </x:c>
      <x:c r="F71" s="56" t="str">
        <x:v>浅蹲
private-open-outdoor-shallow-squat
总5=精2+情3</x:v>
      </x:c>
      <x:c r="G71" s="56" t="str">
        <x:v>低台阶踏步
private-open-outdoor-low-step-up
总5=精4+情1</x:v>
      </x:c>
      <x:c r="H71" s="56" t="str">
        <x:v>靠墙俯卧撑
private-open-outdoor-wall-push-up
总3=精2+情1</x:v>
      </x:c>
      <x:c r="I71" s="74" t="n">
        <x:f>IF(E71&lt;&gt;"",1,0)+IF(F71&lt;&gt;"",1,0)+IF(G71&lt;&gt;"",1,0)+IF(H71&lt;&gt;"",1,0)</x:f>
        <x:v>4</x:v>
      </x:c>
      <x:c r="J71" s="72" t="str">
        <x:f>IF(AND(E71&lt;&gt;F71,E71&lt;&gt;G71,E71&lt;&gt;H71,F71&lt;&gt;G71,F71&lt;&gt;H71,G71&lt;&gt;H71),"通过","有重复")</x:f>
        <x:v>通过</x:v>
      </x:c>
      <x:c r="K71" s="74" t="n">
        <x:v>0</x:v>
      </x:c>
      <x:c r="L71" s="72" t="str">
        <x:v>通过</x:v>
      </x:c>
      <x:c r="M71" s="72" t="str">
        <x:f>IF(AND(I71=4,J71="通过",K71&lt;=1,L71="通过"),"通过","需检查")</x:f>
        <x:v>通过</x:v>
      </x:c>
    </x:row>
    <x:row r="72" ht="52" customHeight="1">
      <x:c r="A72" s="72" t="str">
        <x:v>R069</x:v>
      </x:c>
      <x:c r="B72" s="72" t="str">
        <x:v>私人／开放室外</x:v>
      </x:c>
      <x:c r="C72" s="72" t="str">
        <x:v>精力较好</x:v>
      </x:c>
      <x:c r="D72" s="72" t="str">
        <x:v>压力后</x:v>
      </x:c>
      <x:c r="E72" s="56" t="str">
        <x:v>适度快走
private-open-outdoor-moderate-brisk-walk
总7=精4+情3</x:v>
      </x:c>
      <x:c r="F72" s="56" t="str">
        <x:v>低台阶踏步
private-open-outdoor-low-step-up
总5=精4+情1</x:v>
      </x:c>
      <x:c r="G72" s="56" t="str">
        <x:v>浅蹲
private-open-outdoor-shallow-squat
总1=精2+情-1</x:v>
      </x:c>
      <x:c r="H72" s="56" t="str">
        <x:v>靠墙俯卧撑
private-open-outdoor-wall-push-up
总1=精2+情-1</x:v>
      </x:c>
      <x:c r="I72" s="74" t="n">
        <x:f>IF(E72&lt;&gt;"",1,0)+IF(F72&lt;&gt;"",1,0)+IF(G72&lt;&gt;"",1,0)+IF(H72&lt;&gt;"",1,0)</x:f>
        <x:v>4</x:v>
      </x:c>
      <x:c r="J72" s="72" t="str">
        <x:f>IF(AND(E72&lt;&gt;F72,E72&lt;&gt;G72,E72&lt;&gt;H72,F72&lt;&gt;G72,F72&lt;&gt;H72,G72&lt;&gt;H72),"通过","有重复")</x:f>
        <x:v>通过</x:v>
      </x:c>
      <x:c r="K72" s="74" t="n">
        <x:v>0</x:v>
      </x:c>
      <x:c r="L72" s="72" t="str">
        <x:v>通过</x:v>
      </x:c>
      <x:c r="M72" s="72" t="str">
        <x:f>IF(AND(I72=4,J72="通过",K72&lt;=1,L72="通过"),"通过","需检查")</x:f>
        <x:v>通过</x:v>
      </x:c>
    </x:row>
    <x:row r="73" ht="52" customHeight="1">
      <x:c r="A73" s="72" t="str">
        <x:v>R070</x:v>
      </x:c>
      <x:c r="B73" s="72" t="str">
        <x:v>私人／开放室外</x:v>
      </x:c>
      <x:c r="C73" s="72" t="str">
        <x:v>精力较好</x:v>
      </x:c>
      <x:c r="D73" s="72" t="str">
        <x:v>睡眠不足</x:v>
      </x:c>
      <x:c r="E73" s="56" t="str">
        <x:v>靠墙俯卧撑
private-open-outdoor-wall-push-up
总3=精2+情1</x:v>
      </x:c>
      <x:c r="F73" s="56" t="str">
        <x:v>扶墙后抬腿
private-open-outdoor-supported-back-leg-raise
总3=精0+情3</x:v>
      </x:c>
      <x:c r="G73" s="56" t="str">
        <x:v>适度快走
private-open-outdoor-moderate-brisk-walk
总1=精4+情-3</x:v>
      </x:c>
      <x:c r="H73" s="56" t="str">
        <x:v>浅蹲
private-open-outdoor-shallow-squat
总1=精2+情-1</x:v>
      </x:c>
      <x:c r="I73" s="74" t="n">
        <x:f>IF(E73&lt;&gt;"",1,0)+IF(F73&lt;&gt;"",1,0)+IF(G73&lt;&gt;"",1,0)+IF(H73&lt;&gt;"",1,0)</x:f>
        <x:v>4</x:v>
      </x:c>
      <x:c r="J73" s="72" t="str">
        <x:f>IF(AND(E73&lt;&gt;F73,E73&lt;&gt;G73,E73&lt;&gt;H73,F73&lt;&gt;G73,F73&lt;&gt;H73,G73&lt;&gt;H73),"通过","有重复")</x:f>
        <x:v>通过</x:v>
      </x:c>
      <x:c r="K73" s="74" t="n">
        <x:v>0</x:v>
      </x:c>
      <x:c r="L73" s="72" t="str">
        <x:v>通过</x:v>
      </x:c>
      <x:c r="M73" s="72" t="str">
        <x:f>IF(AND(I73=4,J73="通过",K73&lt;=1,L73="通过"),"通过","需检查")</x:f>
        <x:v>通过</x:v>
      </x:c>
    </x:row>
    <x:row r="74" ht="52" customHeight="1">
      <x:c r="A74" s="72" t="str">
        <x:v>R071</x:v>
      </x:c>
      <x:c r="B74" s="72" t="str">
        <x:v>私人／开放室外</x:v>
      </x:c>
      <x:c r="C74" s="72" t="str">
        <x:v>精力较好</x:v>
      </x:c>
      <x:c r="D74" s="72" t="str">
        <x:v>刚活动后</x:v>
      </x:c>
      <x:c r="E74" s="56" t="str">
        <x:v>靠墙俯卧撑
private-open-outdoor-wall-push-up
总3=精2+情1</x:v>
      </x:c>
      <x:c r="F74" s="56" t="str">
        <x:v>适度快走
private-open-outdoor-moderate-brisk-walk
总1=精4+情-3</x:v>
      </x:c>
      <x:c r="G74" s="56" t="str">
        <x:v>浅蹲
private-open-outdoor-shallow-squat
总1=精2+情-1</x:v>
      </x:c>
      <x:c r="H74" s="56" t="str">
        <x:v>靠墙静蹲
private-open-outdoor-wall-sit
总1=精4+情-3</x:v>
      </x:c>
      <x:c r="I74" s="74" t="n">
        <x:f>IF(E74&lt;&gt;"",1,0)+IF(F74&lt;&gt;"",1,0)+IF(G74&lt;&gt;"",1,0)+IF(H74&lt;&gt;"",1,0)</x:f>
        <x:v>4</x:v>
      </x:c>
      <x:c r="J74" s="72" t="str">
        <x:f>IF(AND(E74&lt;&gt;F74,E74&lt;&gt;G74,E74&lt;&gt;H74,F74&lt;&gt;G74,F74&lt;&gt;H74,G74&lt;&gt;H74),"通过","有重复")</x:f>
        <x:v>通过</x:v>
      </x:c>
      <x:c r="K74" s="74" t="n">
        <x:v>1</x:v>
      </x:c>
      <x:c r="L74" s="72" t="str">
        <x:v>通过</x:v>
      </x:c>
      <x:c r="M74" s="72" t="str">
        <x:f>IF(AND(I74=4,J74="通过",K74&lt;=1,L74="通过"),"通过","需检查")</x:f>
        <x:v>通过</x:v>
      </x:c>
    </x:row>
    <x:row r="75" ht="52" customHeight="1">
      <x:c r="A75" s="72" t="str">
        <x:v>R072</x:v>
      </x:c>
      <x:c r="B75" s="72" t="str">
        <x:v>私人／开放室外</x:v>
      </x:c>
      <x:c r="C75" s="72" t="str">
        <x:v>精力较好</x:v>
      </x:c>
      <x:c r="D75" s="72" t="str">
        <x:v>无特殊情况</x:v>
      </x:c>
      <x:c r="E75" s="56" t="str">
        <x:v>适度快走
private-open-outdoor-moderate-brisk-walk
总4=精4+情0</x:v>
      </x:c>
      <x:c r="F75" s="56" t="str">
        <x:v>靠墙静蹲
private-open-outdoor-wall-sit
总4=精4+情0</x:v>
      </x:c>
      <x:c r="G75" s="56" t="str">
        <x:v>低台阶踏步
private-open-outdoor-low-step-up
总4=精4+情0</x:v>
      </x:c>
      <x:c r="H75" s="56" t="str">
        <x:v>浅蹲
private-open-outdoor-shallow-squat
总2=精2+情0</x:v>
      </x:c>
      <x:c r="I75" s="74" t="n">
        <x:f>IF(E75&lt;&gt;"",1,0)+IF(F75&lt;&gt;"",1,0)+IF(G75&lt;&gt;"",1,0)+IF(H75&lt;&gt;"",1,0)</x:f>
        <x:v>4</x:v>
      </x:c>
      <x:c r="J75" s="72" t="str">
        <x:f>IF(AND(E75&lt;&gt;F75,E75&lt;&gt;G75,E75&lt;&gt;H75,F75&lt;&gt;G75,F75&lt;&gt;H75,G75&lt;&gt;H75),"通过","有重复")</x:f>
        <x:v>通过</x:v>
      </x:c>
      <x:c r="K75" s="74" t="n">
        <x:v>1</x:v>
      </x:c>
      <x:c r="L75" s="72" t="str">
        <x:v>通过</x:v>
      </x:c>
      <x:c r="M75" s="72" t="str">
        <x:f>IF(AND(I75=4,J75="通过",K75&lt;=1,L75="通过"),"通过","需检查")</x:f>
        <x:v>通过</x:v>
      </x:c>
    </x:row>
  </x:sheetData>
  <x:mergeCells>
    <x:mergeCell ref="A1:M1"/>
    <x:mergeCell ref="A2:L2"/>
  </x:mergeCells>
  <x:conditionalFormatting sqref="M4:M75">
    <x:cfRule type="containsText" dxfId="0" priority="1" operator="containsText" text="通过"/>
    <x:cfRule type="containsText" dxfId="1" priority="2" operator="containsText" text="需检查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6" hidden="0" customWidth="1"/>
    <x:col min="4" max="4" width="32" hidden="0" customWidth="1"/>
    <x:col min="5" max="5" width="30" hidden="0" customWidth="1"/>
    <x:col min="6" max="6" width="34" hidden="0" customWidth="1"/>
    <x:col min="7" max="7" width="16" hidden="0" customWidth="1"/>
    <x:col min="8" max="8" width="16" hidden="0" customWidth="1"/>
  </x:cols>
  <x:sheetData>
    <x:row r="1" ht="34" customHeight="1">
      <x:c r="A1" s="34" t="str">
        <x:v>字段说明与质量检查</x:v>
      </x:c>
      <x:c r="B1" s="34" t="str">
        <x:v>字段说明与质量检查</x:v>
      </x:c>
      <x:c r="C1" s="34" t="str">
        <x:v>字段说明与质量检查</x:v>
      </x:c>
      <x:c r="D1" s="34" t="str">
        <x:v>字段说明与质量检查</x:v>
      </x:c>
      <x:c r="E1" s="34" t="str">
        <x:v>字段说明与质量检查</x:v>
      </x:c>
      <x:c r="F1" s="34" t="str">
        <x:v>字段说明与质量检查</x:v>
      </x:c>
      <x:c r="G1" s="34" t="str">
        <x:v>字段说明与质量检查</x:v>
      </x:c>
      <x:c r="H1" s="34" t="str">
        <x:v>字段说明与质量检查</x:v>
      </x:c>
    </x:row>
    <x:row r="2" ht="30" customHeight="1">
      <x:c r="A2" s="38" t="str">
        <x:v>所有质检公式均引用本工作簿中的评分目录和推荐预览；绿色“通过”为交付条件。</x:v>
      </x:c>
      <x:c r="B2" s="38" t="str">
        <x:v>所有质检公式均引用本工作簿中的评分目录和推荐预览；绿色“通过”为交付条件。</x:v>
      </x:c>
      <x:c r="C2" s="38" t="str">
        <x:v>所有质检公式均引用本工作簿中的评分目录和推荐预览；绿色“通过”为交付条件。</x:v>
      </x:c>
      <x:c r="D2" s="38" t="str">
        <x:v>所有质检公式均引用本工作簿中的评分目录和推荐预览；绿色“通过”为交付条件。</x:v>
      </x:c>
      <x:c r="E2" s="38" t="str">
        <x:v>所有质检公式均引用本工作簿中的评分目录和推荐预览；绿色“通过”为交付条件。</x:v>
      </x:c>
      <x:c r="F2" s="38" t="str">
        <x:v>所有质检公式均引用本工作簿中的评分目录和推荐预览；绿色“通过”为交付条件。</x:v>
      </x:c>
      <x:c r="G2" s="38" t="str">
        <x:v>所有质检公式均引用本工作簿中的评分目录和推荐预览；绿色“通过”为交付条件。</x:v>
      </x:c>
      <x:c r="H2" s="38" t="str">
        <x:v>所有质检公式均引用本工作簿中的评分目录和推荐预览；绿色“通过”为交付条件。</x:v>
      </x:c>
      <x:c r="I2" s="38" t="str">
        <x:v>所有质检公式均引用本工作簿中的评分目录和推荐预览；绿色“通过”为交付条件。</x:v>
      </x:c>
      <x:c r="J2" s="38" t="str">
        <x:v>所有质检公式均引用本工作簿中的评分目录和推荐预览；绿色“通过”为交付条件。</x:v>
      </x:c>
      <x:c r="K2" s="38" t="str">
        <x:v>所有质检公式均引用本工作簿中的评分目录和推荐预览；绿色“通过”为交付条件。</x:v>
      </x:c>
      <x:c r="L2" s="38" t="str">
        <x:v>所有质检公式均引用本工作簿中的评分目录和推荐预览；绿色“通过”为交付条件。</x:v>
      </x:c>
    </x:row>
    <x:row r="4" ht="24" customHeight="1">
      <x:c r="A4" s="41" t="str">
        <x:v>一、自动质检</x:v>
      </x:c>
      <x:c r="B4" s="41" t="str">
        <x:v>一、自动质检</x:v>
      </x:c>
      <x:c r="C4" s="41" t="str">
        <x:v>一、自动质检</x:v>
      </x:c>
      <x:c r="D4" s="41" t="str">
        <x:v>一、自动质检</x:v>
      </x:c>
      <x:c r="E4" s="41" t="str">
        <x:v>一、自动质检</x:v>
      </x:c>
      <x:c r="F4" s="41" t="str">
        <x:v>一、自动质检</x:v>
      </x:c>
      <x:c r="G4" s="41" t="str">
        <x:v>一、自动质检</x:v>
      </x:c>
      <x:c r="H4" s="41" t="str">
        <x:v>一、自动质检</x:v>
      </x:c>
    </x:row>
    <x:row r="5" ht="30" customHeight="1">
      <x:c r="A5" s="62" t="str">
        <x:v>检查项</x:v>
      </x:c>
      <x:c r="B5" s="62" t="str">
        <x:v>预期</x:v>
      </x:c>
      <x:c r="C5" s="62" t="str">
        <x:v>实际/结果</x:v>
      </x:c>
      <x:c r="D5" s="62" t="str">
        <x:v>判定</x:v>
      </x:c>
      <x:c r="E5" s="62" t="str">
        <x:v>公式或范围</x:v>
      </x:c>
      <x:c r="F5" s="62" t="str">
        <x:v>说明</x:v>
      </x:c>
    </x:row>
    <x:row r="6" ht="26" customHeight="1">
      <x:c r="A6" s="54" t="str">
        <x:v>App 目录运动总数</x:v>
      </x:c>
      <x:c r="B6" s="73" t="n">
        <x:v>24</x:v>
      </x:c>
      <x:c r="C6" s="73" t="n">
        <x:f>COUNTA('推荐评分规则'!A24:A47)</x:f>
        <x:v>24</x:v>
      </x:c>
      <x:c r="D6" s="71" t="str">
        <x:f>IF(B6=C6,"通过","需检查")</x:f>
        <x:v>通过</x:v>
      </x:c>
      <x:c r="E6" s="54" t="str">
        <x:v>推荐评分规则!A24:A47</x:v>
      </x:c>
      <x:c r="F6" s="54" t="str">
        <x:v>由 App Swift 目录自动解析</x:v>
      </x:c>
    </x:row>
    <x:row r="7" ht="26" customHeight="1">
      <x:c r="A7" s="56" t="str">
        <x:v>私人室内运动数</x:v>
      </x:c>
      <x:c r="B7" s="74" t="n">
        <x:v>6</x:v>
      </x:c>
      <x:c r="C7" s="74" t="n">
        <x:f>COUNTIF('推荐评分规则'!B24:B47,"私人室内")</x:f>
        <x:v>6</x:v>
      </x:c>
      <x:c r="D7" s="72" t="str">
        <x:f>IF(B7=C7,"通过","需检查")</x:f>
        <x:v>通过</x:v>
      </x:c>
      <x:c r="E7" s="56" t="str">
        <x:v>推荐评分规则!B24:B47</x:v>
      </x:c>
      <x:c r="F7" s="56" t="str">
        <x:v>场景映射</x:v>
      </x:c>
    </x:row>
    <x:row r="8" ht="26" customHeight="1">
      <x:c r="A8" s="56" t="str">
        <x:v>公共室内运动数</x:v>
      </x:c>
      <x:c r="B8" s="74" t="n">
        <x:v>6</x:v>
      </x:c>
      <x:c r="C8" s="74" t="n">
        <x:f>COUNTIF('推荐评分规则'!B24:B47,"公共室内")</x:f>
        <x:v>6</x:v>
      </x:c>
      <x:c r="D8" s="72" t="str">
        <x:f>IF(B8=C8,"通过","需检查")</x:f>
        <x:v>通过</x:v>
      </x:c>
      <x:c r="E8" s="56" t="str">
        <x:v>推荐评分规则!B24:B47</x:v>
      </x:c>
      <x:c r="F8" s="56" t="str">
        <x:v>场景映射</x:v>
      </x:c>
    </x:row>
    <x:row r="9" ht="26" customHeight="1">
      <x:c r="A9" s="56" t="str">
        <x:v>公共室外运动数</x:v>
      </x:c>
      <x:c r="B9" s="74" t="n">
        <x:v>6</x:v>
      </x:c>
      <x:c r="C9" s="74" t="n">
        <x:f>COUNTIF('推荐评分规则'!B24:B47,"公共室外")</x:f>
        <x:v>6</x:v>
      </x:c>
      <x:c r="D9" s="72" t="str">
        <x:f>IF(B9=C9,"通过","需检查")</x:f>
        <x:v>通过</x:v>
      </x:c>
      <x:c r="E9" s="56" t="str">
        <x:v>推荐评分规则!B24:B47</x:v>
      </x:c>
      <x:c r="F9" s="56" t="str">
        <x:v>场景映射</x:v>
      </x:c>
    </x:row>
    <x:row r="10" ht="26" customHeight="1">
      <x:c r="A10" s="56" t="str">
        <x:v>私人／开放室外运动数</x:v>
      </x:c>
      <x:c r="B10" s="74" t="n">
        <x:v>6</x:v>
      </x:c>
      <x:c r="C10" s="74" t="n">
        <x:f>COUNTIF('推荐评分规则'!B24:B47,"私人／开放室外")</x:f>
        <x:v>6</x:v>
      </x:c>
      <x:c r="D10" s="72" t="str">
        <x:f>IF(B10=C10,"通过","需检查")</x:f>
        <x:v>通过</x:v>
      </x:c>
      <x:c r="E10" s="56" t="str">
        <x:v>推荐评分规则!B24:B47</x:v>
      </x:c>
      <x:c r="F10" s="56" t="str">
        <x:v>场景映射</x:v>
      </x:c>
    </x:row>
    <x:row r="11" ht="26" customHeight="1">
      <x:c r="A11" s="56" t="str">
        <x:v>推荐组合总数</x:v>
      </x:c>
      <x:c r="B11" s="74" t="n">
        <x:v>72</x:v>
      </x:c>
      <x:c r="C11" s="74" t="n">
        <x:f>COUNTA('推荐结果预览'!A4:A75)</x:f>
        <x:v>72</x:v>
      </x:c>
      <x:c r="D11" s="72" t="str">
        <x:f>IF(B11=C11,"通过","需检查")</x:f>
        <x:v>通过</x:v>
      </x:c>
      <x:c r="E11" s="56" t="str">
        <x:v>推荐结果预览!A4:A75</x:v>
      </x:c>
      <x:c r="F11" s="56" t="str">
        <x:v>4×3×6</x:v>
      </x:c>
    </x:row>
    <x:row r="12" ht="26" customHeight="1">
      <x:c r="A12" s="56" t="str">
        <x:v>每组均为 4 项</x:v>
      </x:c>
      <x:c r="B12" s="74" t="n">
        <x:v>72</x:v>
      </x:c>
      <x:c r="C12" s="74" t="n">
        <x:f>COUNTIF('推荐结果预览'!I4:I75,4)</x:f>
        <x:v>72</x:v>
      </x:c>
      <x:c r="D12" s="72" t="str">
        <x:f>IF(B12=C12,"通过","需检查")</x:f>
        <x:v>通过</x:v>
      </x:c>
      <x:c r="E12" s="56" t="str">
        <x:v>推荐结果预览!I4:I75</x:v>
      </x:c>
      <x:c r="F12" s="56" t="str">
        <x:v>每行推荐数量</x:v>
      </x:c>
    </x:row>
    <x:row r="13" ht="26" customHeight="1">
      <x:c r="A13" s="56" t="str">
        <x:v>每组无重复</x:v>
      </x:c>
      <x:c r="B13" s="74" t="n">
        <x:v>72</x:v>
      </x:c>
      <x:c r="C13" s="74" t="n">
        <x:f>COUNTIF('推荐结果预览'!J4:J75,"通过")</x:f>
        <x:v>72</x:v>
      </x:c>
      <x:c r="D13" s="72" t="str">
        <x:f>IF(B13=C13,"通过","需检查")</x:f>
        <x:v>通过</x:v>
      </x:c>
      <x:c r="E13" s="56" t="str">
        <x:v>推荐结果预览!J4:J75</x:v>
      </x:c>
      <x:c r="F13" s="56" t="str">
        <x:v>四个稳定 ID 两两不相同</x:v>
      </x:c>
    </x:row>
    <x:row r="14" ht="26" customHeight="1">
      <x:c r="A14" s="56" t="str">
        <x:v>等长运动均不超过 1 项且类型平衡通过</x:v>
      </x:c>
      <x:c r="B14" s="74" t="n">
        <x:v>72</x:v>
      </x:c>
      <x:c r="C14" s="74" t="n">
        <x:f>COUNTIFS('推荐结果预览'!K4:K75,"&lt;=1",'推荐结果预览'!L4:L75,"通过")</x:f>
        <x:v>72</x:v>
      </x:c>
      <x:c r="D14" s="72" t="str">
        <x:f>IF(B14=C14,"通过","需检查")</x:f>
        <x:v>通过</x:v>
      </x:c>
      <x:c r="E14" s="56" t="str">
        <x:v>推荐结果预览!K4:L75</x:v>
      </x:c>
      <x:c r="F14" s="56" t="str">
        <x:v>等长上限 + 类别平衡</x:v>
      </x:c>
    </x:row>
    <x:row r="16" ht="24" customHeight="1">
      <x:c r="A16" s="41" t="str">
        <x:v>二、字段说明</x:v>
      </x:c>
      <x:c r="B16" s="41" t="str">
        <x:v>二、字段说明</x:v>
      </x:c>
      <x:c r="C16" s="41" t="str">
        <x:v>二、字段说明</x:v>
      </x:c>
      <x:c r="D16" s="41" t="str">
        <x:v>二、字段说明</x:v>
      </x:c>
      <x:c r="E16" s="41" t="str">
        <x:v>二、字段说明</x:v>
      </x:c>
      <x:c r="F16" s="41" t="str">
        <x:v>二、字段说明</x:v>
      </x:c>
      <x:c r="G16" s="41" t="str">
        <x:v>二、字段说明</x:v>
      </x:c>
      <x:c r="H16" s="41" t="str">
        <x:v>二、字段说明</x:v>
      </x:c>
    </x:row>
    <x:row r="17" ht="30" customHeight="1">
      <x:c r="A17" s="62" t="str">
        <x:v>工作表</x:v>
      </x:c>
      <x:c r="B17" s="62" t="str">
        <x:v>字段</x:v>
      </x:c>
      <x:c r="C17" s="62" t="str">
        <x:v>含义</x:v>
      </x:c>
      <x:c r="D17" s="62" t="str">
        <x:v>维护说明</x:v>
      </x:c>
    </x:row>
    <x:row r="18" ht="38" customHeight="1">
      <x:c r="A18" s="54" t="str">
        <x:v>推荐评分规则</x:v>
      </x:c>
      <x:c r="B18" s="54" t="str">
        <x:v>稳定 ID</x:v>
      </x:c>
      <x:c r="C18" s="54" t="str">
        <x:v>跨客户端/服务端保存和恢复运动的唯一键</x:v>
      </x:c>
      <x:c r="D18" s="54" t="str">
        <x:v>不得复用；改名不改 ID</x:v>
      </x:c>
    </x:row>
    <x:row r="19" ht="38" customHeight="1">
      <x:c r="A19" s="56" t="str">
        <x:v>推荐评分规则</x:v>
      </x:c>
      <x:c r="B19" s="56" t="str">
        <x:v>场景</x:v>
      </x:c>
      <x:c r="C19" s="56" t="str">
        <x:v>先筛选该场景的 6 项候选运动</x:v>
      </x:c>
      <x:c r="D19" s="56" t="str">
        <x:v>与 UI 四个场景值一致</x:v>
      </x:c>
    </x:row>
    <x:row r="20" ht="38" customHeight="1">
      <x:c r="A20" s="56" t="str">
        <x:v>推荐评分规则</x:v>
      </x:c>
      <x:c r="B20" s="56" t="str">
        <x:v>运动类型</x:v>
      </x:c>
      <x:c r="C20" s="56" t="str">
        <x:v>有氧、动态抗阻、等长</x:v>
      </x:c>
      <x:c r="D20" s="56" t="str">
        <x:v>用于类型平衡和等长上限</x:v>
      </x:c>
    </x:row>
    <x:row r="21" ht="38" customHeight="1">
      <x:c r="A21" s="56" t="str">
        <x:v>推荐评分规则</x:v>
      </x:c>
      <x:c r="B21" s="56" t="str">
        <x:v>能量层级</x:v>
      </x:c>
      <x:c r="C21" s="56" t="str">
        <x:v>精力低/一般/较好对应 1/2/3</x:v>
      </x:c>
      <x:c r="D21" s="56" t="str">
        <x:v>用于计算精力匹配分</x:v>
      </x:c>
    </x:row>
    <x:row r="22" ht="38" customHeight="1">
      <x:c r="A22" s="56" t="str">
        <x:v>推荐评分规则</x:v>
      </x:c>
      <x:c r="B22" s="56" t="str">
        <x:v>五个情景分</x:v>
      </x:c>
      <x:c r="C22" s="56" t="str">
        <x:v>+3、+1、-1、-3</x:v>
      </x:c>
      <x:c r="D22" s="56" t="str">
        <x:v>无特殊情况固定为 0</x:v>
      </x:c>
    </x:row>
    <x:row r="23" ht="38" customHeight="1">
      <x:c r="A23" s="56" t="str">
        <x:v>推荐评分规则</x:v>
      </x:c>
      <x:c r="B23" s="56" t="str">
        <x:v>目录顺序</x:v>
      </x:c>
      <x:c r="C23" s="56" t="str">
        <x:v>同分时的稳定排序键</x:v>
      </x:c>
      <x:c r="D23" s="56" t="str">
        <x:v>值越小越靠前</x:v>
      </x:c>
    </x:row>
    <x:row r="24" ht="38" customHeight="1">
      <x:c r="A24" s="56" t="str">
        <x:v>推荐结果预览</x:v>
      </x:c>
      <x:c r="B24" s="56" t="str">
        <x:v>组合 ID</x:v>
      </x:c>
      <x:c r="C24" s="56" t="str">
        <x:v>72 个单情景测试组合的稳定编号</x:v>
      </x:c>
      <x:c r="D24" s="56" t="str">
        <x:v>R001–R072</x:v>
      </x:c>
    </x:row>
    <x:row r="25" ht="38" customHeight="1">
      <x:c r="A25" s="56" t="str">
        <x:v>推荐结果预览</x:v>
      </x:c>
      <x:c r="B25" s="56" t="str">
        <x:v>Top 1–4</x:v>
      </x:c>
      <x:c r="C25" s="56" t="str">
        <x:v>实际展示的 4 项运动及分数拆解</x:v>
      </x:c>
      <x:c r="D25" s="56" t="str">
        <x:v>结果由 App 同款算法生成</x:v>
      </x:c>
    </x:row>
    <x:row r="26" ht="38" customHeight="1">
      <x:c r="A26" s="56" t="str">
        <x:v>推荐结果预览</x:v>
      </x:c>
      <x:c r="B26" s="56" t="str">
        <x:v>推荐数量</x:v>
      </x:c>
      <x:c r="C26" s="56" t="str">
        <x:v>四个 Top 单元格非空数</x:v>
      </x:c>
      <x:c r="D26" s="56" t="str">
        <x:v>必须等于 4</x:v>
      </x:c>
    </x:row>
    <x:row r="27" ht="38" customHeight="1">
      <x:c r="A27" s="56" t="str">
        <x:v>推荐结果预览</x:v>
      </x:c>
      <x:c r="B27" s="56" t="str">
        <x:v>重复检查</x:v>
      </x:c>
      <x:c r="C27" s="56" t="str">
        <x:v>四项稳定 ID 是否两两不同</x:v>
      </x:c>
      <x:c r="D27" s="56" t="str">
        <x:v>必须为通过</x:v>
      </x:c>
    </x:row>
    <x:row r="28" ht="38" customHeight="1">
      <x:c r="A28" s="56" t="str">
        <x:v>推荐结果预览</x:v>
      </x:c>
      <x:c r="B28" s="56" t="str">
        <x:v>等长数量</x:v>
      </x:c>
      <x:c r="C28" s="56" t="str">
        <x:v>单组中等长运动项数</x:v>
      </x:c>
      <x:c r="D28" s="56" t="str">
        <x:v>不得超过 1</x:v>
      </x:c>
    </x:row>
    <x:row r="29" ht="38" customHeight="1">
      <x:c r="A29" s="56" t="str">
        <x:v>推荐结果预览</x:v>
      </x:c>
      <x:c r="B29" s="56" t="str">
        <x:v>类型平衡</x:v>
      </x:c>
      <x:c r="C29" s="56" t="str">
        <x:v>候选包含两类时，结果同时含有氧与非有氧</x:v>
      </x:c>
      <x:c r="D29" s="56" t="str">
        <x:v>公共室外为全有氧，自动通过</x:v>
      </x:c>
    </x:row>
    <x:row r="30" ht="38" customHeight="1">
      <x:c r="A30" s="56" t="str">
        <x:v>原始页</x:v>
      </x:c>
      <x:c r="B30" s="56" t="str">
        <x:v>AI运动建议</x:v>
      </x:c>
      <x:c r="C30" s="56" t="str">
        <x:v>固定动作指导文案</x:v>
      </x:c>
      <x:c r="D30" s="56" t="str">
        <x:v>仅人工审核更新，不由 GPT 生成</x:v>
      </x:c>
    </x:row>
    <x:row r="31" ht="38" customHeight="1">
      <x:c r="A31" s="56" t="str">
        <x:v>原始页</x:v>
      </x:c>
      <x:c r="B31" s="56" t="str">
        <x:v>AI强度建议</x:v>
      </x:c>
      <x:c r="C31" s="56" t="str">
        <x:v>固定强度提示文案</x:v>
      </x:c>
      <x:c r="D31" s="56" t="str">
        <x:v>仅人工审核更新，不由 GPT 生成</x:v>
      </x:c>
    </x:row>
    <x:row r="33" ht="24" customHeight="1">
      <x:c r="A33" s="41" t="str">
        <x:v>三、交付说明</x:v>
      </x:c>
      <x:c r="B33" s="41" t="str">
        <x:v>三、交付说明</x:v>
      </x:c>
      <x:c r="C33" s="41" t="str">
        <x:v>三、交付说明</x:v>
      </x:c>
      <x:c r="D33" s="41" t="str">
        <x:v>三、交付说明</x:v>
      </x:c>
      <x:c r="E33" s="41" t="str">
        <x:v>三、交付说明</x:v>
      </x:c>
      <x:c r="F33" s="41" t="str">
        <x:v>三、交付说明</x:v>
      </x:c>
      <x:c r="G33" s="41" t="str">
        <x:v>三、交付说明</x:v>
      </x:c>
      <x:c r="H33" s="41" t="str">
        <x:v>三、交付说明</x:v>
      </x:c>
    </x:row>
    <x:row r="34" ht="30" customHeight="1">
      <x:c r="A34" s="53" t="str">
        <x:v>源工作簿</x:v>
      </x:c>
      <x:c r="B34" s="54" t="str">
        <x:v>/Users/haoyuzuo/Downloads/低门槛运动场景对应表.xlsx</x:v>
      </x:c>
      <x:c r="C34" s="54"/>
      <x:c r="D34" s="54"/>
      <x:c r="E34" s="54"/>
      <x:c r="F34" s="54"/>
      <x:c r="G34" s="54"/>
      <x:c r="H34" s="54"/>
    </x:row>
    <x:row r="35" ht="30" customHeight="1">
      <x:c r="A35" s="55" t="str">
        <x:v>App 算法源</x:v>
      </x:c>
      <x:c r="B35" s="56" t="str">
        <x:v>/Users/haoyuzuo/Documents/auto-forward-message/hypertension/Features/TodayAction/ExerciseRecommendationEngine.swift</x:v>
      </x:c>
      <x:c r="C35" s="56"/>
      <x:c r="D35" s="56"/>
      <x:c r="E35" s="56"/>
      <x:c r="F35" s="56"/>
      <x:c r="G35" s="56"/>
      <x:c r="H35" s="56"/>
    </x:row>
    <x:row r="36" ht="30" customHeight="1">
      <x:c r="A36" s="55" t="str">
        <x:v>算法版本</x:v>
      </x:c>
      <x:c r="B36" s="56" t="str">
        <x:v>v1｜确定性评分 + 稳定排序 + 等长上限 + 类型平衡</x:v>
      </x:c>
      <x:c r="C36" s="56"/>
      <x:c r="D36" s="56"/>
      <x:c r="E36" s="56"/>
      <x:c r="F36" s="56"/>
      <x:c r="G36" s="56"/>
      <x:c r="H36" s="56"/>
    </x:row>
    <x:row r="37" ht="30" customHeight="1">
      <x:c r="A37" s="55" t="str">
        <x:v>安全口径</x:v>
      </x:c>
      <x:c r="B37" s="56" t="str">
        <x:v>出现明显不适或最近读数达到安全门槛时不生成运动；建议先休息并复测。</x:v>
      </x:c>
      <x:c r="C37" s="56"/>
      <x:c r="D37" s="56"/>
      <x:c r="E37" s="56"/>
      <x:c r="F37" s="56"/>
      <x:c r="G37" s="56"/>
      <x:c r="H37" s="56"/>
    </x:row>
    <x:row r="38" ht="30" customHeight="1">
      <x:c r="A38" s="55" t="str">
        <x:v>文案口径</x:v>
      </x:c>
      <x:c r="B38" s="56" t="str">
        <x:v>只使用固定审核文案稿；本流程不调用 GPT。</x:v>
      </x:c>
      <x:c r="C38" s="56"/>
      <x:c r="D38" s="56"/>
      <x:c r="E38" s="56"/>
      <x:c r="F38" s="56"/>
      <x:c r="G38" s="56"/>
      <x:c r="H38" s="56"/>
    </x:row>
  </x:sheetData>
  <x:mergeCells>
    <x:mergeCell ref="A1:H1"/>
    <x:mergeCell ref="A2:L2"/>
    <x:mergeCell ref="A4:H4"/>
    <x:mergeCell ref="A16:H16"/>
    <x:mergeCell ref="A33:H33"/>
    <x:mergeCell ref="B34:H34"/>
    <x:mergeCell ref="B35:H35"/>
    <x:mergeCell ref="B36:H36"/>
    <x:mergeCell ref="B37:H37"/>
    <x:mergeCell ref="B38:H38"/>
  </x:mergeCells>
  <x:conditionalFormatting sqref="D6:D14">
    <x:cfRule type="containsText" dxfId="2" priority="1" operator="containsText" text="通过"/>
    <x:cfRule type="containsText" dxfId="3" priority="2" operator="containsText" text="需检查"/>
  </x:conditionalFormatting>
  <x:pageMargins left="0.7" right="0.7" top="0.75" bottom="0.75" header="0.3" footer="0.3"/>
</x:worksheet>
</file>